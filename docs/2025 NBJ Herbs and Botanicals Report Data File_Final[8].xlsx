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Overview" sheetId="1" r:id="rId4"/>
    <sheet state="visible" name="Conditions" sheetId="2" r:id="rId5"/>
    <sheet state="visible" name="Ayurvedic Herbs" sheetId="3" r:id="rId6"/>
    <sheet state="visible" name="Hemp CBD" sheetId="4" r:id="rId7"/>
    <sheet state="visible" name="Mushrooms" sheetId="5" r:id="rId8"/>
    <sheet state="visible" name="Channels" sheetId="6" r:id="rId9"/>
  </sheets>
  <definedNames/>
  <calcPr/>
  <extLst>
    <ext uri="GoogleSheetsCustomDataVersion2">
      <go:sheetsCustomData xmlns:go="http://customooxmlschemas.google.com/" r:id="rId10" roundtripDataChecksum="Hf8t+ZbOFcOL7AfLyk8JuS/z2nUVndnRnTGKtXHQHVw="/>
    </ext>
  </extLst>
</workbook>
</file>

<file path=xl/sharedStrings.xml><?xml version="1.0" encoding="utf-8"?>
<sst xmlns="http://schemas.openxmlformats.org/spreadsheetml/2006/main" count="579" uniqueCount="192">
  <si>
    <r>
      <rPr>
        <rFont val="Calibri"/>
        <color theme="0"/>
        <sz val="11.0"/>
      </rPr>
      <t xml:space="preserve">I have generated a line chart titled </t>
    </r>
    <r>
      <rPr>
        <rFont val="Calibri"/>
        <b/>
        <color theme="0"/>
        <sz val="11.0"/>
      </rPr>
      <t>"Herb and Botanical Sales Over Time"</t>
    </r>
    <r>
      <rPr>
        <rFont val="Calibri"/>
        <color theme="0"/>
        <sz val="11.0"/>
      </rPr>
      <t xml:space="preserve"> that visualizes the sales figures from 2020 to 2028e.</t>
    </r>
    <r>
      <rPr>
        <rFont val="Calibri"/>
        <color theme="0"/>
        <sz val="11.0"/>
      </rPr>
      <t xml:space="preserve">
</t>
    </r>
    <r>
      <rPr>
        <rFont val="Calibri"/>
        <color theme="0"/>
        <sz val="11.0"/>
      </rPr>
      <t>The chart shows:</t>
    </r>
    <r>
      <rPr>
        <rFont val="Calibri"/>
        <color theme="0"/>
        <sz val="11.0"/>
      </rPr>
      <t xml:space="preserve">
• </t>
    </r>
    <r>
      <rPr>
        <rFont val="Calibri"/>
        <b/>
        <color theme="0"/>
        <sz val="11.0"/>
      </rPr>
      <t>X-Axis:</t>
    </r>
    <r>
      <rPr>
        <rFont val="Calibri"/>
        <color theme="0"/>
        <sz val="11.0"/>
      </rPr>
      <t xml:space="preserve"> Year (from 2020 to 2028e).</t>
    </r>
    <r>
      <rPr>
        <rFont val="Calibri"/>
        <color theme="0"/>
        <sz val="11.0"/>
      </rPr>
      <t xml:space="preserve">
• </t>
    </r>
    <r>
      <rPr>
        <rFont val="Calibri"/>
        <b/>
        <color theme="0"/>
        <sz val="11.0"/>
      </rPr>
      <t>Y-Axis:</t>
    </r>
    <r>
      <rPr>
        <rFont val="Calibri"/>
        <color theme="0"/>
        <sz val="11.0"/>
      </rPr>
      <t xml:space="preserve"> Sales (in Millions of $).</t>
    </r>
    <r>
      <rPr>
        <rFont val="Calibri"/>
        <color theme="0"/>
        <sz val="11.0"/>
      </rPr>
      <t xml:space="preserve">
• </t>
    </r>
    <r>
      <rPr>
        <rFont val="Calibri"/>
        <b/>
        <color theme="0"/>
        <sz val="11.0"/>
      </rPr>
      <t>Color/Line Style:</t>
    </r>
    <r>
      <rPr>
        <rFont val="Calibri"/>
        <color theme="0"/>
        <sz val="11.0"/>
      </rPr>
      <t xml:space="preserve"> Differentiates between 'Actual' sales data (2020-2023) and 'Estimate' sales data (2024e-2028e).</t>
    </r>
    <r>
      <rPr>
        <rFont val="Calibri"/>
        <color theme="0"/>
        <sz val="11.0"/>
      </rPr>
      <t xml:space="preserve">
</t>
    </r>
    <r>
      <rPr>
        <rFont val="Calibri"/>
        <color theme="0"/>
        <sz val="11.0"/>
      </rPr>
      <t>You can insert this chart into your spreadsheet to visualize the trend.</t>
    </r>
  </si>
  <si>
    <t>2024e</t>
  </si>
  <si>
    <t>2025e</t>
  </si>
  <si>
    <t>2026e</t>
  </si>
  <si>
    <t>2027e</t>
  </si>
  <si>
    <t>2028e</t>
  </si>
  <si>
    <t xml:space="preserve">Supplement Sales  </t>
  </si>
  <si>
    <t>Supplement Growth</t>
  </si>
  <si>
    <t>Herb and Botanical Sales</t>
  </si>
  <si>
    <t>Herb and Botanical Growth</t>
  </si>
  <si>
    <t>Herbs and Botanicals as 
% of Total Supplements</t>
  </si>
  <si>
    <t>Supplement industry sales by category, 2024e</t>
  </si>
  <si>
    <t>Vitamins</t>
  </si>
  <si>
    <t xml:space="preserve">Specialty </t>
  </si>
  <si>
    <t>Herbs and Botanicals</t>
  </si>
  <si>
    <t xml:space="preserve">Sports Nutrition </t>
  </si>
  <si>
    <t>Meal Replacements</t>
  </si>
  <si>
    <t>Minerals</t>
  </si>
  <si>
    <t>Top Fifty Herb and Botanical Sales, 2020-2028e</t>
  </si>
  <si>
    <t>Turmeric</t>
  </si>
  <si>
    <t>Mushrooms</t>
  </si>
  <si>
    <t>Ashwagandha</t>
  </si>
  <si>
    <t>Elderberry</t>
  </si>
  <si>
    <t>Hemp/CBD</t>
  </si>
  <si>
    <t>Fruit and vegetable supplements</t>
  </si>
  <si>
    <t>Cranberry</t>
  </si>
  <si>
    <t>Echinacea</t>
  </si>
  <si>
    <t>Milk thistle</t>
  </si>
  <si>
    <t>Maca</t>
  </si>
  <si>
    <t>Saw palmetto</t>
  </si>
  <si>
    <t>Aloe</t>
  </si>
  <si>
    <t>Resveratrol</t>
  </si>
  <si>
    <t>Green tea</t>
  </si>
  <si>
    <t>Green foods</t>
  </si>
  <si>
    <t>Ginger</t>
  </si>
  <si>
    <t>Garlic</t>
  </si>
  <si>
    <t>Ginkgo biloba</t>
  </si>
  <si>
    <t>Cinnamon</t>
  </si>
  <si>
    <t>Rosehips</t>
  </si>
  <si>
    <t>Acai</t>
  </si>
  <si>
    <t>Berberine</t>
  </si>
  <si>
    <t>Valerian</t>
  </si>
  <si>
    <t>Oregano</t>
  </si>
  <si>
    <t>Astralagus</t>
  </si>
  <si>
    <t>Ginseng</t>
  </si>
  <si>
    <t>Stevia</t>
  </si>
  <si>
    <t>Fenugreek</t>
  </si>
  <si>
    <t>Bitter melon</t>
  </si>
  <si>
    <t xml:space="preserve">Kava </t>
  </si>
  <si>
    <t>Red yeast rice</t>
  </si>
  <si>
    <t>Senna</t>
  </si>
  <si>
    <t>Horny goat weed</t>
  </si>
  <si>
    <t>Peppermint and other mints</t>
  </si>
  <si>
    <t>Cascara sagrada</t>
  </si>
  <si>
    <t>Garcinia</t>
  </si>
  <si>
    <t>Olive leaf extract</t>
  </si>
  <si>
    <t>St. john's wort</t>
  </si>
  <si>
    <t>Black cohosh root</t>
  </si>
  <si>
    <t xml:space="preserve">Other chinese herbs </t>
  </si>
  <si>
    <t>Goji juice</t>
  </si>
  <si>
    <t>Other Ayurvedic herbs</t>
  </si>
  <si>
    <t>Hawthorne</t>
  </si>
  <si>
    <t>Chamomile</t>
  </si>
  <si>
    <t>Grapefruit seed extract</t>
  </si>
  <si>
    <t>Cayenne</t>
  </si>
  <si>
    <t>Goldenseal</t>
  </si>
  <si>
    <t>Licorice root</t>
  </si>
  <si>
    <t>Slippery elm</t>
  </si>
  <si>
    <t>Top Fifty Herb and Botanical Growth, 2020-2028e</t>
  </si>
  <si>
    <t>Total single vs. combination herb and botanical sales, 2020-2028e</t>
  </si>
  <si>
    <t>Single</t>
  </si>
  <si>
    <t>Combination</t>
  </si>
  <si>
    <t xml:space="preserve">Total </t>
  </si>
  <si>
    <t>Total single vs. combination herb and botanical growth, 2020-2028e</t>
  </si>
  <si>
    <t>Total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</si>
  <si>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</si>
  <si>
    <t>Combination Herbal Formulas Across Top Conditions, 2024</t>
  </si>
  <si>
    <t>Fitness and Energy</t>
  </si>
  <si>
    <t>Sexual Health</t>
  </si>
  <si>
    <t>Cold, Flu and Immunity</t>
  </si>
  <si>
    <t>Sleep Health</t>
  </si>
  <si>
    <t>Mood and Mental Health</t>
  </si>
  <si>
    <t>Menopause</t>
  </si>
  <si>
    <t>Brain Health</t>
  </si>
  <si>
    <t>Gastrointestinal Health</t>
  </si>
  <si>
    <t>Liver/Detox</t>
  </si>
  <si>
    <t>Others</t>
  </si>
  <si>
    <t>**only includes conditions that have &gt;$100m in sales</t>
  </si>
  <si>
    <t>Mood and Mental Health Supplement Sales by Top Herbal Ingredients, 2020-2028e</t>
  </si>
  <si>
    <t>Combination herbs</t>
  </si>
  <si>
    <t>Gotu kola</t>
  </si>
  <si>
    <t>Mood and Mental Health Supplement Growth by Top Herbal Ingredients, 2020-2028e</t>
  </si>
  <si>
    <t>Healthy Sleep Supplement Sales by Top Herbal Ingredients, 2020-2028e</t>
  </si>
  <si>
    <t>Kava</t>
  </si>
  <si>
    <t>Healthy Sleep Supplement Growth by Top Herbal Ingredients, 2020-2028e</t>
  </si>
  <si>
    <t>Brain Health Supplement Sales by Top Herbal Ingredients, 2020-2028e</t>
  </si>
  <si>
    <t>-</t>
  </si>
  <si>
    <t>Bacopa</t>
  </si>
  <si>
    <t>Brain Health Supplement Growth by Top Herbal Ingredients, 2020-2028e</t>
  </si>
  <si>
    <t>Sexual Health Supplement Sales by Top Herbal Ingredients, 2020-2028e</t>
  </si>
  <si>
    <t>Sexual Health Supplement Growth by Top Herbal Ingredients, 2020-2028e</t>
  </si>
  <si>
    <t>Weight Management Supplement Sales by Top Herbal Ingredients, 2020-2028e</t>
  </si>
  <si>
    <t xml:space="preserve"> Weight Management Supplement Growth by Top Herbal Ingredients, 2020-2028e</t>
  </si>
  <si>
    <t>Gastrointestinal Health Supplement Sales by Top Herbal Ingredients, 2020-2028e</t>
  </si>
  <si>
    <t>Cascada sagrada</t>
  </si>
  <si>
    <t>Gastrointestinal Health Supplement Growth by Top Herbal Ingredients, 2020-2028e</t>
  </si>
  <si>
    <t>Cold, Flu and Imminty Supplement Sales by Top Herbal Ingredients, 2020-2028e</t>
  </si>
  <si>
    <t>Astragalus</t>
  </si>
  <si>
    <t>Cold, Flu and Imminty Supplement Growth by Top Herbal Ingredients, 2020-2028e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</si>
  <si>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</si>
  <si>
    <t>Total Ayurvedic herbs vs. Total Herb and Botanical sales, 2020-2028e</t>
  </si>
  <si>
    <t>Ayurvedic herb sales</t>
  </si>
  <si>
    <t>Ayurvedic herb growth</t>
  </si>
  <si>
    <t>Herb and botanical sales</t>
  </si>
  <si>
    <t>Ayurvedic herbs as % of Total 
Herbs and Botanicals</t>
  </si>
  <si>
    <t>Turmeric vs. Total Herb and Botanical Sales, 2020-2028e</t>
  </si>
  <si>
    <t>Turmeric growth</t>
  </si>
  <si>
    <t>Turmeric as % of Total 
Herbs and Botanicals</t>
  </si>
  <si>
    <t>Turmeric Share by Channel, 2024</t>
  </si>
  <si>
    <t>Natural and specialty retail</t>
  </si>
  <si>
    <t>Mass market retail</t>
  </si>
  <si>
    <t>Direct-to-consumer</t>
  </si>
  <si>
    <t>Turmeric Share by Condition, 2024</t>
  </si>
  <si>
    <t>Joint Health</t>
  </si>
  <si>
    <t>Liver Healthand Detox</t>
  </si>
  <si>
    <t>Heart</t>
  </si>
  <si>
    <t>Ashwagandha vs. Total Herb and Botanical Sales, 2020-2028e</t>
  </si>
  <si>
    <t>Ashwagandha growth</t>
  </si>
  <si>
    <t>Herb and botanical growth</t>
  </si>
  <si>
    <t>Ashwagandha as 
% of total herbs and botanicals</t>
  </si>
  <si>
    <t>Ashwagandha Sales by Channel, 2024</t>
  </si>
  <si>
    <t>Natural and Specialty Retail</t>
  </si>
  <si>
    <t>Mass Market Retail</t>
  </si>
  <si>
    <t>Direct-to-Consumer</t>
  </si>
  <si>
    <t>Ashwagandha Sales by Condition, 2024</t>
  </si>
  <si>
    <t>Women's Health</t>
  </si>
  <si>
    <t>Other Ayurvedic Herbal Ingredient Sales, 2020-2028e</t>
  </si>
  <si>
    <t>Boswellia</t>
  </si>
  <si>
    <t xml:space="preserve">Gotu kola </t>
  </si>
  <si>
    <t>Shatavari</t>
  </si>
  <si>
    <t>Triphala</t>
  </si>
  <si>
    <t>Other Ayurvedic Herbal Ingredient Growth, 2020-2028e</t>
  </si>
  <si>
    <t>Bacopa Sales by Condition, 2024</t>
  </si>
  <si>
    <t>Healthy Aging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</si>
  <si>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</si>
  <si>
    <t>Hemp CBD vs. Total Herb and Botanical Sales, 2020-2028e</t>
  </si>
  <si>
    <t>Hemp CBD supplement sales</t>
  </si>
  <si>
    <t>Hemp CBD supplement growth</t>
  </si>
  <si>
    <t>Herb and Botanical sales</t>
  </si>
  <si>
    <t>Herb and Botanical growth</t>
  </si>
  <si>
    <t>Hemp CBD as 
% of total herbs and botanicals</t>
  </si>
  <si>
    <t>Hemp CBD Supplement Sales by Delivery Format, 2020-2028e</t>
  </si>
  <si>
    <t>Capsules, softgels and tablets</t>
  </si>
  <si>
    <t>Oils, tinctures and drops</t>
  </si>
  <si>
    <t>Powders</t>
  </si>
  <si>
    <t>Gummies</t>
  </si>
  <si>
    <t>Hemp CBD Supplement Growth by Delivery Format, 2020-2028e</t>
  </si>
  <si>
    <t>Hemp CBD Market Share by Channel, 2024</t>
  </si>
  <si>
    <t>Hemp CBD Market Share by Condition, 2024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</si>
  <si>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</si>
  <si>
    <t>Mushroom vs. Total Herb and Botanical Sales, 2020-2028e</t>
  </si>
  <si>
    <t>Mushroom supplement sales</t>
  </si>
  <si>
    <t>Mushroom supplement growth</t>
  </si>
  <si>
    <t>Mushrooms as % of total
Herbs and Botanicals</t>
  </si>
  <si>
    <t>Mushroom market share by channel, 2024</t>
  </si>
  <si>
    <t>Mushroom Share by Top Conditions, 2024</t>
  </si>
  <si>
    <t>Mushroom supplement sales by type, 2020-2028e</t>
  </si>
  <si>
    <t>Chaga</t>
  </si>
  <si>
    <t>Cordyceps</t>
  </si>
  <si>
    <t>Reishi</t>
  </si>
  <si>
    <t>Lion's mane</t>
  </si>
  <si>
    <t>Turkey tail</t>
  </si>
  <si>
    <t>Maitake</t>
  </si>
  <si>
    <t>Shiitake</t>
  </si>
  <si>
    <t>Formulas</t>
  </si>
  <si>
    <t>Mushroom supplement growth by type, 2020-2028e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</si>
  <si>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</si>
  <si>
    <t>Herbs and botanical supplement sales by channel, 2020-2028e</t>
  </si>
  <si>
    <t>MLM-Networking</t>
  </si>
  <si>
    <t>E-Commerce</t>
  </si>
  <si>
    <t>Mail Order, DRTV and Radio</t>
  </si>
  <si>
    <t xml:space="preserve">Practitioner Sales </t>
  </si>
  <si>
    <t>Herbs and botanical supplement growth by channel, 2020-2028e</t>
  </si>
  <si>
    <t>Herbs and botanical supplement sales and growth by natural and specialty retail channel, 2020-2028e</t>
  </si>
  <si>
    <t>Sales</t>
  </si>
  <si>
    <t>Growth</t>
  </si>
  <si>
    <t>E-commerce</t>
  </si>
  <si>
    <t>Herbs and botanical supplement sales and growth by pracitioner channel, 2020-2028e</t>
  </si>
  <si>
    <t>Herb and botanical market share by channel, 2024</t>
  </si>
  <si>
    <t>Mail order, DRTV and radio</t>
  </si>
  <si>
    <t xml:space="preserve">Practitioner sales </t>
  </si>
  <si>
    <r>
      <rPr>
        <rFont val="Calibri"/>
        <color rgb="FF000000"/>
        <sz val="11.0"/>
      </rPr>
      <t xml:space="preserve">Source: </t>
    </r>
    <r>
      <rPr>
        <rFont val="Calibri"/>
        <i/>
        <color rgb="FF000000"/>
        <sz val="11.0"/>
      </rPr>
      <t>Nutrition Business Journal</t>
    </r>
    <r>
      <rPr>
        <rFont val="Aptos Narrow"/>
        <color rgb="FF000000"/>
        <sz val="12.0"/>
      </rPr>
      <t xml:space="preserve"> ($mil, consumer sales)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</si>
</sst>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#,##0.0"/>
    <numFmt numFmtId="166" formatCode="#,##0.0_);\(#,##0.0\)"/>
    <numFmt numFmtId="167" formatCode="_(* #,##0.0_);_(* \(#,##0.0\);_(* &quot;-&quot;??_);_(@_)"/>
    <numFmt numFmtId="168" formatCode="_(* #,##0_);_(* \(#,##0\);_(* &quot;-&quot;??_);_(@_)"/>
    <numFmt numFmtId="169" formatCode="0.0"/>
    <numFmt numFmtId="170" formatCode="_(* #,##0.00_);_(* \(#,##0.00\);_(* &quot;-&quot;??_);_(@_)"/>
  </numFmts>
  <fonts count="14">
    <font>
      <sz val="11.0"/>
      <color theme="1"/>
      <name val="Calibri"/>
      <scheme val="minor"/>
    </font>
    <font>
      <sz val="11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  <font>
      <b/>
      <i/>
      <sz val="11.0"/>
      <color theme="1"/>
      <name val="Calibri"/>
    </font>
    <font>
      <sz val="11.0"/>
      <color rgb="FFF2F2F2"/>
      <name val="Calibri"/>
    </font>
    <font>
      <b/>
      <sz val="11.0"/>
      <color rgb="FF000000"/>
      <name val="Calibri"/>
    </font>
    <font>
      <sz val="11.0"/>
      <color theme="1"/>
      <name val="Helvetica Neue"/>
    </font>
    <font>
      <sz val="10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0" fillId="0" fontId="3" numFmtId="0" xfId="0" applyFont="1"/>
    <xf borderId="5" fillId="0" fontId="3" numFmtId="3" xfId="0" applyAlignment="1" applyBorder="1" applyFont="1" applyNumberFormat="1">
      <alignment horizontal="right"/>
    </xf>
    <xf borderId="0" fillId="0" fontId="5" numFmtId="3" xfId="0" applyFont="1" applyNumberFormat="1"/>
    <xf borderId="4" fillId="0" fontId="3" numFmtId="164" xfId="0" applyAlignment="1" applyBorder="1" applyFont="1" applyNumberFormat="1">
      <alignment horizontal="right"/>
    </xf>
    <xf borderId="4" fillId="0" fontId="3" numFmtId="164" xfId="0" applyBorder="1" applyFont="1" applyNumberFormat="1"/>
    <xf borderId="0" fillId="0" fontId="3" numFmtId="3" xfId="0" applyFont="1" applyNumberForma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horizontal="right" vertical="center"/>
    </xf>
    <xf borderId="0" fillId="0" fontId="6" numFmtId="0" xfId="0" applyFont="1"/>
    <xf borderId="0" fillId="0" fontId="5" numFmtId="164" xfId="0" applyFont="1" applyNumberFormat="1"/>
    <xf borderId="4" fillId="0" fontId="5" numFmtId="164" xfId="0" applyBorder="1" applyFont="1" applyNumberFormat="1"/>
    <xf borderId="1" fillId="2" fontId="1" numFmtId="0" xfId="0" applyAlignment="1" applyBorder="1" applyFont="1">
      <alignment horizontal="center"/>
    </xf>
    <xf borderId="5" fillId="0" fontId="3" numFmtId="0" xfId="0" applyBorder="1" applyFont="1"/>
    <xf borderId="0" fillId="0" fontId="3" numFmtId="165" xfId="0" applyFont="1" applyNumberFormat="1"/>
    <xf borderId="4" fillId="0" fontId="3" numFmtId="165" xfId="0" applyBorder="1" applyFont="1" applyNumberFormat="1"/>
    <xf borderId="0" fillId="0" fontId="4" numFmtId="3" xfId="0" applyFont="1" applyNumberFormat="1"/>
    <xf borderId="0" fillId="0" fontId="3" numFmtId="164" xfId="0" applyFont="1" applyNumberFormat="1"/>
    <xf borderId="4" fillId="0" fontId="3" numFmtId="3" xfId="0" applyBorder="1" applyFont="1" applyNumberFormat="1"/>
    <xf borderId="0" fillId="0" fontId="4" numFmtId="0" xfId="0" applyFont="1"/>
    <xf borderId="0" fillId="0" fontId="4" numFmtId="164" xfId="0" applyFont="1" applyNumberFormat="1"/>
    <xf borderId="0" fillId="0" fontId="5" numFmtId="0" xfId="0" applyFont="1"/>
    <xf borderId="0" fillId="0" fontId="3" numFmtId="9" xfId="0" applyFont="1" applyNumberFormat="1"/>
    <xf borderId="0" fillId="0" fontId="4" numFmtId="9" xfId="0" applyAlignment="1" applyFont="1" applyNumberFormat="1">
      <alignment horizontal="center"/>
    </xf>
    <xf borderId="0" fillId="0" fontId="3" numFmtId="9" xfId="0" applyAlignment="1" applyFont="1" applyNumberFormat="1">
      <alignment horizontal="left"/>
    </xf>
    <xf borderId="0" fillId="0" fontId="3" numFmtId="37" xfId="0" applyFont="1" applyNumberFormat="1"/>
    <xf borderId="1" fillId="3" fontId="7" numFmtId="0" xfId="0" applyAlignment="1" applyBorder="1" applyFill="1" applyFont="1">
      <alignment horizontal="center"/>
    </xf>
    <xf borderId="0" fillId="0" fontId="3" numFmtId="166" xfId="0" applyFont="1" applyNumberFormat="1"/>
    <xf borderId="5" fillId="0" fontId="3" numFmtId="167" xfId="0" applyBorder="1" applyFont="1" applyNumberFormat="1"/>
    <xf borderId="0" fillId="0" fontId="3" numFmtId="167" xfId="0" applyFont="1" applyNumberFormat="1"/>
    <xf borderId="4" fillId="0" fontId="3" numFmtId="166" xfId="0" applyBorder="1" applyFont="1" applyNumberFormat="1"/>
    <xf borderId="4" fillId="0" fontId="3" numFmtId="167" xfId="0" applyBorder="1" applyFont="1" applyNumberFormat="1"/>
    <xf borderId="0" fillId="0" fontId="5" numFmtId="167" xfId="0" applyAlignment="1" applyFont="1" applyNumberFormat="1">
      <alignment horizontal="center"/>
    </xf>
    <xf borderId="4" fillId="0" fontId="5" numFmtId="167" xfId="0" applyAlignment="1" applyBorder="1" applyFont="1" applyNumberFormat="1">
      <alignment horizontal="center"/>
    </xf>
    <xf borderId="5" fillId="0" fontId="3" numFmtId="164" xfId="0" applyBorder="1" applyFont="1" applyNumberFormat="1"/>
    <xf borderId="0" fillId="0" fontId="3" numFmtId="168" xfId="0" applyFont="1" applyNumberFormat="1"/>
    <xf borderId="0" fillId="0" fontId="3" numFmtId="169" xfId="0" applyFont="1" applyNumberFormat="1"/>
    <xf borderId="4" fillId="0" fontId="3" numFmtId="169" xfId="0" applyBorder="1" applyFont="1" applyNumberFormat="1"/>
    <xf borderId="5" fillId="0" fontId="3" numFmtId="3" xfId="0" applyBorder="1" applyFont="1" applyNumberFormat="1"/>
    <xf borderId="4" fillId="0" fontId="4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4" fillId="0" fontId="8" numFmtId="0" xfId="0" applyBorder="1" applyFont="1"/>
    <xf borderId="5" fillId="0" fontId="3" numFmtId="169" xfId="0" applyAlignment="1" applyBorder="1" applyFont="1" applyNumberFormat="1">
      <alignment horizontal="right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3" numFmtId="166" xfId="0" applyAlignment="1" applyFont="1" applyNumberFormat="1">
      <alignment horizontal="right"/>
    </xf>
    <xf borderId="5" fillId="0" fontId="3" numFmtId="166" xfId="0" applyBorder="1" applyFont="1" applyNumberFormat="1"/>
    <xf borderId="5" fillId="0" fontId="4" numFmtId="0" xfId="0" applyBorder="1" applyFont="1"/>
    <xf borderId="5" fillId="0" fontId="4" numFmtId="166" xfId="0" applyAlignment="1" applyBorder="1" applyFont="1" applyNumberFormat="1">
      <alignment horizontal="right"/>
    </xf>
    <xf borderId="0" fillId="0" fontId="4" numFmtId="37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5" fillId="0" fontId="4" numFmtId="164" xfId="0" applyAlignment="1" applyBorder="1" applyFont="1" applyNumberFormat="1">
      <alignment horizontal="right"/>
    </xf>
    <xf borderId="0" fillId="0" fontId="4" numFmtId="164" xfId="0" applyAlignment="1" applyFont="1" applyNumberFormat="1">
      <alignment horizontal="right"/>
    </xf>
    <xf borderId="5" fillId="0" fontId="4" numFmtId="164" xfId="0" applyAlignment="1" applyBorder="1" applyFont="1" applyNumberFormat="1">
      <alignment horizontal="center"/>
    </xf>
    <xf borderId="4" fillId="0" fontId="3" numFmtId="9" xfId="0" applyBorder="1" applyFont="1" applyNumberFormat="1"/>
    <xf borderId="0" fillId="0" fontId="4" numFmtId="9" xfId="0" applyFont="1" applyNumberFormat="1"/>
    <xf borderId="5" fillId="0" fontId="3" numFmtId="165" xfId="0" applyAlignment="1" applyBorder="1" applyFont="1" applyNumberFormat="1">
      <alignment horizontal="right"/>
    </xf>
    <xf borderId="0" fillId="0" fontId="1" numFmtId="0" xfId="0" applyAlignment="1" applyFont="1">
      <alignment horizontal="center"/>
    </xf>
    <xf borderId="0" fillId="0" fontId="7" numFmtId="0" xfId="0" applyFont="1"/>
    <xf borderId="4" fillId="0" fontId="1" numFmtId="0" xfId="0" applyAlignment="1" applyBorder="1" applyFont="1">
      <alignment horizontal="center"/>
    </xf>
    <xf borderId="5" fillId="0" fontId="5" numFmtId="164" xfId="0" applyBorder="1" applyFont="1" applyNumberFormat="1"/>
    <xf borderId="0" fillId="0" fontId="5" numFmtId="10" xfId="0" applyFont="1" applyNumberFormat="1"/>
    <xf borderId="0" fillId="0" fontId="5" numFmtId="170" xfId="0" applyFont="1" applyNumberFormat="1"/>
    <xf borderId="0" fillId="0" fontId="5" numFmtId="1" xfId="0" applyFont="1" applyNumberFormat="1"/>
    <xf borderId="0" fillId="0" fontId="3" numFmtId="1" xfId="0" applyFont="1" applyNumberFormat="1"/>
    <xf borderId="0" fillId="0" fontId="3" numFmtId="10" xfId="0" applyFont="1" applyNumberFormat="1"/>
    <xf borderId="0" fillId="0" fontId="4" numFmtId="0" xfId="0" applyAlignment="1" applyFont="1">
      <alignment horizontal="center" vertical="center"/>
    </xf>
    <xf borderId="6" fillId="4" fontId="3" numFmtId="9" xfId="0" applyBorder="1" applyFill="1" applyFont="1" applyNumberFormat="1"/>
    <xf borderId="6" fillId="4" fontId="3" numFmtId="164" xfId="0" applyBorder="1" applyFont="1" applyNumberFormat="1"/>
    <xf borderId="0" fillId="0" fontId="1" numFmtId="9" xfId="0" applyAlignment="1" applyFont="1" applyNumberFormat="1">
      <alignment shrinkToFit="0" wrapText="1"/>
    </xf>
    <xf borderId="0" fillId="0" fontId="1" numFmtId="9" xfId="0" applyFont="1" applyNumberFormat="1"/>
    <xf borderId="1" fillId="2" fontId="9" numFmtId="9" xfId="0" applyAlignment="1" applyBorder="1" applyFont="1" applyNumberFormat="1">
      <alignment horizontal="center"/>
    </xf>
    <xf borderId="0" fillId="0" fontId="5" numFmtId="165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right"/>
    </xf>
    <xf borderId="4" fillId="0" fontId="5" numFmtId="165" xfId="0" applyAlignment="1" applyBorder="1" applyFont="1" applyNumberFormat="1">
      <alignment horizontal="right" vertical="center"/>
    </xf>
    <xf borderId="4" fillId="0" fontId="3" numFmtId="165" xfId="0" applyAlignment="1" applyBorder="1" applyFont="1" applyNumberFormat="1">
      <alignment horizontal="right" vertical="center"/>
    </xf>
    <xf borderId="4" fillId="0" fontId="3" numFmtId="165" xfId="0" applyAlignment="1" applyBorder="1" applyFont="1" applyNumberFormat="1">
      <alignment horizontal="right"/>
    </xf>
    <xf borderId="0" fillId="0" fontId="10" numFmtId="165" xfId="0" applyAlignment="1" applyFont="1" applyNumberFormat="1">
      <alignment horizontal="right" vertical="center"/>
    </xf>
    <xf borderId="0" fillId="0" fontId="4" numFmtId="10" xfId="0" applyFont="1" applyNumberFormat="1"/>
    <xf borderId="1" fillId="2" fontId="1" numFmtId="9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4" fillId="0" fontId="5" numFmtId="16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11" numFmtId="0" xfId="0" applyFont="1"/>
    <xf borderId="0" fillId="0" fontId="5" numFmtId="165" xfId="0" applyFont="1" applyNumberFormat="1"/>
    <xf borderId="4" fillId="0" fontId="5" numFmtId="3" xfId="0" applyBorder="1" applyFont="1" applyNumberFormat="1"/>
    <xf borderId="0" fillId="0" fontId="10" numFmtId="3" xfId="0" applyFont="1" applyNumberFormat="1"/>
    <xf borderId="0" fillId="0" fontId="12" numFmtId="164" xfId="0" applyFont="1" applyNumberFormat="1"/>
    <xf borderId="0" fillId="0" fontId="10" numFmtId="164" xfId="0" applyFont="1" applyNumberFormat="1"/>
    <xf borderId="4" fillId="0" fontId="5" numFmtId="0" xfId="0" applyBorder="1" applyFont="1"/>
    <xf borderId="0" fillId="0" fontId="13" numFmtId="3" xfId="0" applyFont="1" applyNumberFormat="1"/>
    <xf borderId="4" fillId="0" fontId="1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4.43"/>
    <col customWidth="1" min="6" max="10" width="8.43"/>
    <col customWidth="1" min="11" max="26" width="8.86"/>
  </cols>
  <sheetData>
    <row r="1" ht="15.75" customHeight="1">
      <c r="A1" s="1" t="s">
        <v>0</v>
      </c>
      <c r="B1" s="2"/>
      <c r="C1" s="2"/>
      <c r="D1" s="2"/>
      <c r="E1" s="3"/>
    </row>
    <row r="2">
      <c r="A2" s="4"/>
      <c r="B2" s="5">
        <v>2020.0</v>
      </c>
      <c r="C2" s="5">
        <v>2021.0</v>
      </c>
      <c r="D2" s="5">
        <v>2022.0</v>
      </c>
      <c r="E2" s="5">
        <v>2023.0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</row>
    <row r="3">
      <c r="A3" s="6" t="s">
        <v>6</v>
      </c>
      <c r="B3" s="7">
        <v>57247.30071043344</v>
      </c>
      <c r="C3" s="7">
        <v>61494.218507959995</v>
      </c>
      <c r="D3" s="7">
        <v>62713.03180639259</v>
      </c>
      <c r="E3" s="7">
        <v>65548.62941574298</v>
      </c>
      <c r="F3" s="8">
        <v>68920.60346884186</v>
      </c>
      <c r="G3" s="8">
        <v>72733.94090969494</v>
      </c>
      <c r="H3" s="8">
        <v>76947.50658891926</v>
      </c>
      <c r="I3" s="8">
        <v>81484.90444690666</v>
      </c>
      <c r="J3" s="8">
        <v>86122.84024569893</v>
      </c>
    </row>
    <row r="4">
      <c r="A4" s="4" t="s">
        <v>7</v>
      </c>
      <c r="B4" s="9">
        <v>0.16730879510506758</v>
      </c>
      <c r="C4" s="9">
        <v>0.074185468045178</v>
      </c>
      <c r="D4" s="9">
        <v>0.01981996564888171</v>
      </c>
      <c r="E4" s="9">
        <v>0.0452154445044921</v>
      </c>
      <c r="F4" s="9">
        <v>0.05144232737060132</v>
      </c>
      <c r="G4" s="9">
        <v>0.05532942616465977</v>
      </c>
      <c r="H4" s="9">
        <v>0.0579312165204386</v>
      </c>
      <c r="I4" s="9">
        <v>0.05896744493915541</v>
      </c>
      <c r="J4" s="10">
        <v>0.056917730103177855</v>
      </c>
    </row>
    <row r="5">
      <c r="A5" s="6" t="s">
        <v>8</v>
      </c>
      <c r="B5" s="7">
        <v>11168.45050043851</v>
      </c>
      <c r="C5" s="7">
        <v>12240.53746514293</v>
      </c>
      <c r="D5" s="7">
        <v>12017.792037182026</v>
      </c>
      <c r="E5" s="7">
        <v>12550.815459168629</v>
      </c>
      <c r="F5" s="7">
        <v>13231.264348824676</v>
      </c>
      <c r="G5" s="7">
        <v>14033.860366057303</v>
      </c>
      <c r="H5" s="7">
        <v>14940.996005106339</v>
      </c>
      <c r="I5" s="7">
        <v>15937.954437460405</v>
      </c>
      <c r="J5" s="11">
        <v>17036.089779102047</v>
      </c>
    </row>
    <row r="6">
      <c r="A6" s="4" t="s">
        <v>9</v>
      </c>
      <c r="B6" s="9">
        <v>0.17197402940171277</v>
      </c>
      <c r="C6" s="9">
        <v>0.09599245344395146</v>
      </c>
      <c r="D6" s="9">
        <v>-0.01819735682319597</v>
      </c>
      <c r="E6" s="9">
        <v>0.04435285785753941</v>
      </c>
      <c r="F6" s="9">
        <v>0.054215512280436334</v>
      </c>
      <c r="G6" s="9">
        <v>0.060659056918012585</v>
      </c>
      <c r="H6" s="9">
        <v>0.06463906689873164</v>
      </c>
      <c r="I6" s="10">
        <v>0.06672637031783814</v>
      </c>
      <c r="J6" s="10">
        <v>0.06890064505772436</v>
      </c>
    </row>
    <row r="7" ht="30.75" customHeight="1">
      <c r="A7" s="12" t="s">
        <v>10</v>
      </c>
      <c r="B7" s="13">
        <v>0.19509130320275583</v>
      </c>
      <c r="C7" s="13">
        <v>0.19905184198020956</v>
      </c>
      <c r="D7" s="13">
        <v>0.1916314949384572</v>
      </c>
      <c r="E7" s="13">
        <v>0.1914733469034864</v>
      </c>
      <c r="F7" s="13">
        <v>0.19197835890694667</v>
      </c>
      <c r="G7" s="13">
        <v>0.1929478891221015</v>
      </c>
      <c r="H7" s="13">
        <v>0.19417128205240505</v>
      </c>
      <c r="I7" s="13">
        <v>0.1955939513661103</v>
      </c>
      <c r="J7" s="13">
        <v>0.1978115181814716</v>
      </c>
    </row>
    <row r="8" ht="12.0" customHeight="1"/>
    <row r="9" ht="48.0" customHeight="1">
      <c r="A9" s="1" t="s">
        <v>11</v>
      </c>
      <c r="B9" s="3"/>
    </row>
    <row r="10">
      <c r="A10" s="14" t="s">
        <v>12</v>
      </c>
      <c r="B10" s="15">
        <v>0.27512332607096734</v>
      </c>
    </row>
    <row r="11">
      <c r="A11" s="14" t="s">
        <v>13</v>
      </c>
      <c r="B11" s="15">
        <v>0.21850835016666625</v>
      </c>
    </row>
    <row r="12">
      <c r="A12" s="14" t="s">
        <v>14</v>
      </c>
      <c r="B12" s="15">
        <v>0.19197872187407494</v>
      </c>
    </row>
    <row r="13">
      <c r="A13" s="14" t="s">
        <v>15</v>
      </c>
      <c r="B13" s="15">
        <v>0.15244779620614068</v>
      </c>
    </row>
    <row r="14">
      <c r="A14" s="14" t="s">
        <v>16</v>
      </c>
      <c r="B14" s="15">
        <v>0.10321802548254788</v>
      </c>
    </row>
    <row r="15">
      <c r="A15" s="4" t="s">
        <v>17</v>
      </c>
      <c r="B15" s="16">
        <v>0.05872378019960299</v>
      </c>
    </row>
    <row r="16">
      <c r="B16" s="15"/>
    </row>
    <row r="18">
      <c r="A18" s="17" t="s">
        <v>18</v>
      </c>
      <c r="B18" s="2"/>
      <c r="C18" s="2"/>
      <c r="D18" s="2"/>
      <c r="E18" s="2"/>
      <c r="F18" s="2"/>
      <c r="G18" s="2"/>
      <c r="H18" s="2"/>
      <c r="I18" s="2"/>
      <c r="J18" s="3"/>
    </row>
    <row r="19">
      <c r="B19" s="5">
        <v>2020.0</v>
      </c>
      <c r="C19" s="5">
        <v>2021.0</v>
      </c>
      <c r="D19" s="5">
        <v>2022.0</v>
      </c>
      <c r="E19" s="5">
        <v>2023.0</v>
      </c>
      <c r="F19" s="5">
        <v>2024.0</v>
      </c>
      <c r="G19" s="5" t="s">
        <v>2</v>
      </c>
      <c r="H19" s="5" t="s">
        <v>3</v>
      </c>
      <c r="I19" s="5" t="s">
        <v>4</v>
      </c>
      <c r="J19" s="5" t="s">
        <v>5</v>
      </c>
    </row>
    <row r="20">
      <c r="A20" s="18" t="s">
        <v>19</v>
      </c>
      <c r="B20" s="19">
        <v>447.6745531712589</v>
      </c>
      <c r="C20" s="19">
        <v>448.90776625071936</v>
      </c>
      <c r="D20" s="19">
        <v>461.49694324892516</v>
      </c>
      <c r="E20" s="19">
        <v>479.01182981815816</v>
      </c>
      <c r="F20" s="19">
        <v>503.52196429373305</v>
      </c>
      <c r="G20" s="19">
        <v>533.425872866912</v>
      </c>
      <c r="H20" s="19">
        <v>567.7663455637984</v>
      </c>
      <c r="I20" s="19">
        <v>606.5595454427298</v>
      </c>
      <c r="J20" s="19">
        <v>650.2954666517272</v>
      </c>
    </row>
    <row r="21" ht="15.75" customHeight="1">
      <c r="A21" s="14" t="s">
        <v>20</v>
      </c>
      <c r="B21" s="19">
        <v>193.3611162527783</v>
      </c>
      <c r="C21" s="19">
        <v>275.80248986928154</v>
      </c>
      <c r="D21" s="19">
        <v>341.8179842635335</v>
      </c>
      <c r="E21" s="19">
        <v>396.3208824244615</v>
      </c>
      <c r="F21" s="19">
        <v>461.2792929027386</v>
      </c>
      <c r="G21" s="19">
        <v>537.8475979245252</v>
      </c>
      <c r="H21" s="19">
        <v>622.5051110789068</v>
      </c>
      <c r="I21" s="19">
        <v>711.1286734673386</v>
      </c>
      <c r="J21" s="19">
        <v>799.6592723398969</v>
      </c>
    </row>
    <row r="22" ht="15.75" customHeight="1">
      <c r="A22" s="14" t="s">
        <v>21</v>
      </c>
      <c r="B22" s="19">
        <v>197.69043806034637</v>
      </c>
      <c r="C22" s="19">
        <v>250.62948770571458</v>
      </c>
      <c r="D22" s="19">
        <v>303.73432627144604</v>
      </c>
      <c r="E22" s="19">
        <v>349.53292568243626</v>
      </c>
      <c r="F22" s="19">
        <v>401.6694461795322</v>
      </c>
      <c r="G22" s="19">
        <v>462.08417371732736</v>
      </c>
      <c r="H22" s="19">
        <v>531.3447128555936</v>
      </c>
      <c r="I22" s="19">
        <v>607.2311565697826</v>
      </c>
      <c r="J22" s="19">
        <v>690.9506438176722</v>
      </c>
    </row>
    <row r="23" ht="15.75" customHeight="1">
      <c r="A23" s="14" t="s">
        <v>22</v>
      </c>
      <c r="B23" s="19">
        <v>403.66874141684946</v>
      </c>
      <c r="C23" s="19">
        <v>569.6439639033459</v>
      </c>
      <c r="D23" s="19">
        <v>459.5963292164259</v>
      </c>
      <c r="E23" s="19">
        <v>399.9304197789829</v>
      </c>
      <c r="F23" s="19">
        <v>371.1874693438939</v>
      </c>
      <c r="G23" s="19">
        <v>354.208965102708</v>
      </c>
      <c r="H23" s="19">
        <v>342.7961955089898</v>
      </c>
      <c r="I23" s="19">
        <v>334.65453701013683</v>
      </c>
      <c r="J23" s="19">
        <v>328.5574370437306</v>
      </c>
    </row>
    <row r="24" ht="15.75" customHeight="1">
      <c r="A24" s="14" t="s">
        <v>23</v>
      </c>
      <c r="B24" s="19">
        <v>548.5434</v>
      </c>
      <c r="C24" s="19">
        <v>512.888079</v>
      </c>
      <c r="D24" s="19">
        <v>396.462485067</v>
      </c>
      <c r="E24" s="19">
        <v>347.8615762875827</v>
      </c>
      <c r="F24" s="19">
        <v>316.3470791821951</v>
      </c>
      <c r="G24" s="19">
        <v>294.43954186712335</v>
      </c>
      <c r="H24" s="19">
        <v>280.1214855144902</v>
      </c>
      <c r="I24" s="19">
        <v>272.3175621342924</v>
      </c>
      <c r="J24" s="19">
        <v>266.1160264520532</v>
      </c>
    </row>
    <row r="25" ht="15.75" customHeight="1">
      <c r="A25" s="14" t="s">
        <v>24</v>
      </c>
      <c r="B25" s="19">
        <v>194.01465881706218</v>
      </c>
      <c r="C25" s="19">
        <v>204.29743573436645</v>
      </c>
      <c r="D25" s="19">
        <v>214.17500326910786</v>
      </c>
      <c r="E25" s="19">
        <v>224.23571495737878</v>
      </c>
      <c r="F25" s="19">
        <v>234.50633386292677</v>
      </c>
      <c r="G25" s="19">
        <v>245.05024464462616</v>
      </c>
      <c r="H25" s="19">
        <v>255.96174288811665</v>
      </c>
      <c r="I25" s="19">
        <v>267.21250378432205</v>
      </c>
      <c r="J25" s="19">
        <v>278.3833365941705</v>
      </c>
    </row>
    <row r="26" ht="15.75" customHeight="1">
      <c r="A26" s="14" t="s">
        <v>25</v>
      </c>
      <c r="B26" s="19">
        <v>197.1426319480349</v>
      </c>
      <c r="C26" s="19">
        <v>201.37184439092036</v>
      </c>
      <c r="D26" s="19">
        <v>211.68067085789494</v>
      </c>
      <c r="E26" s="19">
        <v>221.60549292327428</v>
      </c>
      <c r="F26" s="19">
        <v>233.5895335080536</v>
      </c>
      <c r="G26" s="19">
        <v>246.78558931355752</v>
      </c>
      <c r="H26" s="19">
        <v>260.7814445930672</v>
      </c>
      <c r="I26" s="19">
        <v>275.1991476861351</v>
      </c>
      <c r="J26" s="19">
        <v>289.38087704264876</v>
      </c>
    </row>
    <row r="27" ht="15.75" customHeight="1">
      <c r="A27" s="14" t="s">
        <v>26</v>
      </c>
      <c r="B27" s="19">
        <v>211.55054685878804</v>
      </c>
      <c r="C27" s="19">
        <v>230.93569991963153</v>
      </c>
      <c r="D27" s="19">
        <v>227.41128318402866</v>
      </c>
      <c r="E27" s="19">
        <v>225.34648698321791</v>
      </c>
      <c r="F27" s="19">
        <v>223.36326719334167</v>
      </c>
      <c r="G27" s="19">
        <v>222.863667741117</v>
      </c>
      <c r="H27" s="19">
        <v>222.86446110443177</v>
      </c>
      <c r="I27" s="19">
        <v>223.2878943181035</v>
      </c>
      <c r="J27" s="19">
        <v>224.16879875987672</v>
      </c>
    </row>
    <row r="28" ht="15.75" customHeight="1">
      <c r="A28" s="14" t="s">
        <v>27</v>
      </c>
      <c r="B28" s="19">
        <v>150.9399908488147</v>
      </c>
      <c r="C28" s="19">
        <v>160.38621005589007</v>
      </c>
      <c r="D28" s="19">
        <v>161.58180378681504</v>
      </c>
      <c r="E28" s="19">
        <v>166.49834236510065</v>
      </c>
      <c r="F28" s="19">
        <v>174.15678009065255</v>
      </c>
      <c r="G28" s="19">
        <v>183.28999594386244</v>
      </c>
      <c r="H28" s="19">
        <v>194.04954133917118</v>
      </c>
      <c r="I28" s="19">
        <v>205.88813685569238</v>
      </c>
      <c r="J28" s="19">
        <v>218.09317075550632</v>
      </c>
    </row>
    <row r="29" ht="15.75" customHeight="1">
      <c r="A29" s="14" t="s">
        <v>28</v>
      </c>
      <c r="B29" s="19">
        <v>131.55921238786863</v>
      </c>
      <c r="C29" s="19">
        <v>141.28916765390608</v>
      </c>
      <c r="D29" s="19">
        <v>147.4344860020609</v>
      </c>
      <c r="E29" s="19">
        <v>156.9287958830567</v>
      </c>
      <c r="F29" s="19">
        <v>170.70274183459236</v>
      </c>
      <c r="G29" s="19">
        <v>185.2035829094452</v>
      </c>
      <c r="H29" s="19">
        <v>201.02378130229727</v>
      </c>
      <c r="I29" s="19">
        <v>218.24540253630622</v>
      </c>
      <c r="J29" s="19">
        <v>236.71305386701525</v>
      </c>
    </row>
    <row r="30" ht="15.75" customHeight="1">
      <c r="A30" s="14" t="s">
        <v>29</v>
      </c>
      <c r="B30" s="19">
        <v>153.8927872867637</v>
      </c>
      <c r="C30" s="19">
        <v>156.9815474504257</v>
      </c>
      <c r="D30" s="19">
        <v>161.58960713347895</v>
      </c>
      <c r="E30" s="19">
        <v>165.00004306950225</v>
      </c>
      <c r="F30" s="19">
        <v>167.31248021202745</v>
      </c>
      <c r="G30" s="19">
        <v>169.77431247867062</v>
      </c>
      <c r="H30" s="19">
        <v>172.63219795017136</v>
      </c>
      <c r="I30" s="19">
        <v>176.01234435225092</v>
      </c>
      <c r="J30" s="19">
        <v>179.70602560469112</v>
      </c>
    </row>
    <row r="31" ht="15.75" customHeight="1">
      <c r="A31" s="14" t="s">
        <v>30</v>
      </c>
      <c r="B31" s="19">
        <v>125.31057615661234</v>
      </c>
      <c r="C31" s="19">
        <v>134.092112439201</v>
      </c>
      <c r="D31" s="19">
        <v>159.6173381194838</v>
      </c>
      <c r="E31" s="19">
        <v>162.0674192604857</v>
      </c>
      <c r="F31" s="19">
        <v>159.8787280713645</v>
      </c>
      <c r="G31" s="19">
        <v>158.2089450199735</v>
      </c>
      <c r="H31" s="19">
        <v>158.61152315472322</v>
      </c>
      <c r="I31" s="19">
        <v>160.5636811427737</v>
      </c>
      <c r="J31" s="19">
        <v>163.74076171481198</v>
      </c>
    </row>
    <row r="32" ht="15.75" customHeight="1">
      <c r="A32" s="14" t="s">
        <v>31</v>
      </c>
      <c r="B32" s="19">
        <v>115.17079162417225</v>
      </c>
      <c r="C32" s="19">
        <v>119.9473531938451</v>
      </c>
      <c r="D32" s="19">
        <v>130.47446956374029</v>
      </c>
      <c r="E32" s="19">
        <v>141.63813134651434</v>
      </c>
      <c r="F32" s="19">
        <v>154.3143622413071</v>
      </c>
      <c r="G32" s="19">
        <v>168.5732261036465</v>
      </c>
      <c r="H32" s="19">
        <v>183.61598902411623</v>
      </c>
      <c r="I32" s="19">
        <v>199.94881014781507</v>
      </c>
      <c r="J32" s="19">
        <v>217.29754046588846</v>
      </c>
    </row>
    <row r="33" ht="15.75" customHeight="1">
      <c r="A33" s="14" t="s">
        <v>32</v>
      </c>
      <c r="B33" s="19">
        <v>140.82597461358668</v>
      </c>
      <c r="C33" s="19">
        <v>137.8902138731943</v>
      </c>
      <c r="D33" s="19">
        <v>137.33670226542299</v>
      </c>
      <c r="E33" s="19">
        <v>139.09869055372073</v>
      </c>
      <c r="F33" s="19">
        <v>143.836219251023</v>
      </c>
      <c r="G33" s="19">
        <v>148.72057169468525</v>
      </c>
      <c r="H33" s="19">
        <v>153.49303485087768</v>
      </c>
      <c r="I33" s="19">
        <v>157.76397573642762</v>
      </c>
      <c r="J33" s="19">
        <v>161.96355462148892</v>
      </c>
    </row>
    <row r="34" ht="15.75" customHeight="1">
      <c r="A34" s="14" t="s">
        <v>33</v>
      </c>
      <c r="B34" s="19">
        <v>121.04028593181079</v>
      </c>
      <c r="C34" s="19">
        <v>122.12457363318052</v>
      </c>
      <c r="D34" s="19">
        <v>121.3954746143347</v>
      </c>
      <c r="E34" s="19">
        <v>124.86570828810869</v>
      </c>
      <c r="F34" s="19">
        <v>130.219475379438</v>
      </c>
      <c r="G34" s="19">
        <v>138.1594198034709</v>
      </c>
      <c r="H34" s="19">
        <v>147.63718222122898</v>
      </c>
      <c r="I34" s="19">
        <v>158.7150082899058</v>
      </c>
      <c r="J34" s="19">
        <v>171.67650916582414</v>
      </c>
    </row>
    <row r="35" ht="15.75" customHeight="1">
      <c r="A35" s="14" t="s">
        <v>34</v>
      </c>
      <c r="B35" s="19">
        <v>98.69290234175955</v>
      </c>
      <c r="C35" s="19">
        <v>109.92748474163112</v>
      </c>
      <c r="D35" s="19">
        <v>108.40104574847382</v>
      </c>
      <c r="E35" s="19">
        <v>109.62770155502086</v>
      </c>
      <c r="F35" s="19">
        <v>113.54241279108697</v>
      </c>
      <c r="G35" s="19">
        <v>117.88084364998784</v>
      </c>
      <c r="H35" s="19">
        <v>122.90482155455442</v>
      </c>
      <c r="I35" s="19">
        <v>128.16008455206094</v>
      </c>
      <c r="J35" s="19">
        <v>133.58366683130984</v>
      </c>
    </row>
    <row r="36" ht="15.75" customHeight="1">
      <c r="A36" s="14" t="s">
        <v>35</v>
      </c>
      <c r="B36" s="19">
        <v>111.17684564120432</v>
      </c>
      <c r="C36" s="19">
        <v>115.9658192687179</v>
      </c>
      <c r="D36" s="19">
        <v>113.4670322317537</v>
      </c>
      <c r="E36" s="19">
        <v>112.76437348089647</v>
      </c>
      <c r="F36" s="19">
        <v>112.89500666050218</v>
      </c>
      <c r="G36" s="19">
        <v>113.66794835234941</v>
      </c>
      <c r="H36" s="19">
        <v>114.89575560753964</v>
      </c>
      <c r="I36" s="19">
        <v>116.25087972682275</v>
      </c>
      <c r="J36" s="19">
        <v>117.73426970445327</v>
      </c>
    </row>
    <row r="37" ht="15.75" customHeight="1">
      <c r="A37" s="14" t="s">
        <v>36</v>
      </c>
      <c r="B37" s="19">
        <v>95.80556847526165</v>
      </c>
      <c r="C37" s="19">
        <v>95.8168156884264</v>
      </c>
      <c r="D37" s="19">
        <v>97.36149387901662</v>
      </c>
      <c r="E37" s="19">
        <v>99.95568529555098</v>
      </c>
      <c r="F37" s="19">
        <v>104.68638843933516</v>
      </c>
      <c r="G37" s="19">
        <v>109.68316716338325</v>
      </c>
      <c r="H37" s="19">
        <v>114.82491287297584</v>
      </c>
      <c r="I37" s="19">
        <v>120.3869642740514</v>
      </c>
      <c r="J37" s="19">
        <v>126.35932100202353</v>
      </c>
    </row>
    <row r="38" ht="15.75" customHeight="1">
      <c r="A38" s="14" t="s">
        <v>37</v>
      </c>
      <c r="B38" s="19">
        <v>51.87744123731588</v>
      </c>
      <c r="C38" s="19">
        <v>55.057724371041516</v>
      </c>
      <c r="D38" s="19">
        <v>67.64375272678171</v>
      </c>
      <c r="E38" s="19">
        <v>86.6408460582307</v>
      </c>
      <c r="F38" s="19">
        <v>103.43419111289838</v>
      </c>
      <c r="G38" s="19">
        <v>120.29424215889966</v>
      </c>
      <c r="H38" s="19">
        <v>138.21312753142377</v>
      </c>
      <c r="I38" s="19">
        <v>156.98865539693787</v>
      </c>
      <c r="J38" s="19">
        <v>176.3968031365911</v>
      </c>
    </row>
    <row r="39" ht="15.75" customHeight="1">
      <c r="A39" s="14" t="s">
        <v>38</v>
      </c>
      <c r="B39" s="19">
        <v>235.77184871669502</v>
      </c>
      <c r="C39" s="19">
        <v>268.19218628378445</v>
      </c>
      <c r="D39" s="19">
        <v>166.9243419918958</v>
      </c>
      <c r="E39" s="19">
        <v>109.76721868435354</v>
      </c>
      <c r="F39" s="19">
        <v>100.4628123163605</v>
      </c>
      <c r="G39" s="19">
        <v>97.82192244628646</v>
      </c>
      <c r="H39" s="19">
        <v>95.53637208104045</v>
      </c>
      <c r="I39" s="19">
        <v>93.55040877407725</v>
      </c>
      <c r="J39" s="19">
        <v>91.81855946601668</v>
      </c>
    </row>
    <row r="40" ht="15.75" customHeight="1">
      <c r="A40" s="14" t="s">
        <v>39</v>
      </c>
      <c r="B40" s="19">
        <v>129.12144042070824</v>
      </c>
      <c r="C40" s="19">
        <v>117.82716945756977</v>
      </c>
      <c r="D40" s="19">
        <v>110.4585682784894</v>
      </c>
      <c r="E40" s="19">
        <v>104.60572618825485</v>
      </c>
      <c r="F40" s="19">
        <v>99.84778685820208</v>
      </c>
      <c r="G40" s="19">
        <v>95.84384772687875</v>
      </c>
      <c r="H40" s="19">
        <v>92.4001182440167</v>
      </c>
      <c r="I40" s="19">
        <v>89.38084107102017</v>
      </c>
      <c r="J40" s="19">
        <v>86.68918937824952</v>
      </c>
    </row>
    <row r="41" ht="15.75" customHeight="1">
      <c r="A41" s="14" t="s">
        <v>40</v>
      </c>
      <c r="B41" s="19">
        <v>30.281313950000005</v>
      </c>
      <c r="C41" s="19">
        <v>32.19650973</v>
      </c>
      <c r="D41" s="19">
        <v>34.63145375193</v>
      </c>
      <c r="E41" s="19">
        <v>64.25367101899076</v>
      </c>
      <c r="F41" s="19">
        <v>90.34436731164044</v>
      </c>
      <c r="G41" s="19">
        <v>99.04672171642164</v>
      </c>
      <c r="H41" s="19">
        <v>105.73087298992289</v>
      </c>
      <c r="I41" s="19">
        <v>111.27248701729322</v>
      </c>
      <c r="J41" s="19">
        <v>115.78634458988927</v>
      </c>
    </row>
    <row r="42" ht="15.75" customHeight="1">
      <c r="A42" s="14" t="s">
        <v>41</v>
      </c>
      <c r="B42" s="19">
        <v>88.78826244332477</v>
      </c>
      <c r="C42" s="19">
        <v>86.85130359934979</v>
      </c>
      <c r="D42" s="19">
        <v>85.67224475171727</v>
      </c>
      <c r="E42" s="19">
        <v>85.40659787373295</v>
      </c>
      <c r="F42" s="19">
        <v>86.2863848925264</v>
      </c>
      <c r="G42" s="19">
        <v>88.04330680205368</v>
      </c>
      <c r="H42" s="19">
        <v>90.79365741081298</v>
      </c>
      <c r="I42" s="19">
        <v>94.61503580499169</v>
      </c>
      <c r="J42" s="19">
        <v>99.36595918617958</v>
      </c>
    </row>
    <row r="43" ht="15.75" customHeight="1">
      <c r="A43" s="14" t="s">
        <v>42</v>
      </c>
      <c r="B43" s="19">
        <v>56.41110045167355</v>
      </c>
      <c r="C43" s="19">
        <v>70.76538626115627</v>
      </c>
      <c r="D43" s="19">
        <v>74.86790462184766</v>
      </c>
      <c r="E43" s="19">
        <v>78.91080189982245</v>
      </c>
      <c r="F43" s="19">
        <v>83.62378225026119</v>
      </c>
      <c r="G43" s="19">
        <v>88.88670496495207</v>
      </c>
      <c r="H43" s="19">
        <v>94.68047779256847</v>
      </c>
      <c r="I43" s="19">
        <v>100.8085984905963</v>
      </c>
      <c r="J43" s="19">
        <v>106.86591836294546</v>
      </c>
    </row>
    <row r="44" ht="15.75" customHeight="1">
      <c r="A44" s="14" t="s">
        <v>43</v>
      </c>
      <c r="B44" s="19">
        <v>65.58968267592064</v>
      </c>
      <c r="C44" s="19">
        <v>85.36814086567236</v>
      </c>
      <c r="D44" s="19">
        <v>81.46261662780992</v>
      </c>
      <c r="E44" s="19">
        <v>78.370025399802</v>
      </c>
      <c r="F44" s="19">
        <v>76.01631893361989</v>
      </c>
      <c r="G44" s="19">
        <v>74.29510073428662</v>
      </c>
      <c r="H44" s="19">
        <v>73.11048887367681</v>
      </c>
      <c r="I44" s="19">
        <v>72.38954266938802</v>
      </c>
      <c r="J44" s="19">
        <v>72.07677208487891</v>
      </c>
    </row>
    <row r="45" ht="15.75" customHeight="1">
      <c r="A45" s="14" t="s">
        <v>44</v>
      </c>
      <c r="B45" s="19">
        <v>76.6178581558841</v>
      </c>
      <c r="C45" s="19">
        <v>75.14407782156722</v>
      </c>
      <c r="D45" s="19">
        <v>74.35434827348838</v>
      </c>
      <c r="E45" s="19">
        <v>73.8114115884979</v>
      </c>
      <c r="F45" s="19">
        <v>74.02384669169712</v>
      </c>
      <c r="G45" s="19">
        <v>74.82163644878985</v>
      </c>
      <c r="H45" s="19">
        <v>75.92217716782613</v>
      </c>
      <c r="I45" s="19">
        <v>77.14810145823137</v>
      </c>
      <c r="J45" s="19">
        <v>78.3464364749258</v>
      </c>
    </row>
    <row r="46" ht="15.75" customHeight="1">
      <c r="A46" s="14" t="s">
        <v>45</v>
      </c>
      <c r="B46" s="19">
        <v>74.31354887516176</v>
      </c>
      <c r="C46" s="19">
        <v>72.79686533319071</v>
      </c>
      <c r="D46" s="19">
        <v>71.81331045579506</v>
      </c>
      <c r="E46" s="19">
        <v>72.20844667683983</v>
      </c>
      <c r="F46" s="19">
        <v>73.66729578085925</v>
      </c>
      <c r="G46" s="19">
        <v>75.95593900955686</v>
      </c>
      <c r="H46" s="19">
        <v>79.43861023798627</v>
      </c>
      <c r="I46" s="19">
        <v>83.78358140038075</v>
      </c>
      <c r="J46" s="19">
        <v>89.30412015180178</v>
      </c>
    </row>
    <row r="47" ht="15.75" customHeight="1">
      <c r="A47" s="14" t="s">
        <v>46</v>
      </c>
      <c r="B47" s="19">
        <v>68.14796366218391</v>
      </c>
      <c r="C47" s="19">
        <v>66.55221168614824</v>
      </c>
      <c r="D47" s="19">
        <v>68.10988499422544</v>
      </c>
      <c r="E47" s="19">
        <v>69.81475361989044</v>
      </c>
      <c r="F47" s="19">
        <v>70.76559566087847</v>
      </c>
      <c r="G47" s="19">
        <v>71.64436397336893</v>
      </c>
      <c r="H47" s="19">
        <v>72.62438902700394</v>
      </c>
      <c r="I47" s="19">
        <v>73.82584912307638</v>
      </c>
      <c r="J47" s="19">
        <v>75.10694091580609</v>
      </c>
    </row>
    <row r="48" ht="15.75" customHeight="1">
      <c r="A48" s="14" t="s">
        <v>47</v>
      </c>
      <c r="B48" s="19">
        <v>87.68953141821854</v>
      </c>
      <c r="C48" s="19">
        <v>104.60715518909556</v>
      </c>
      <c r="D48" s="19">
        <v>65.89601413866205</v>
      </c>
      <c r="E48" s="19">
        <v>66.87190036543315</v>
      </c>
      <c r="F48" s="19">
        <v>68.80526484690004</v>
      </c>
      <c r="G48" s="19">
        <v>71.4273748572039</v>
      </c>
      <c r="H48" s="19">
        <v>74.56330783303227</v>
      </c>
      <c r="I48" s="19">
        <v>78.27127815997558</v>
      </c>
      <c r="J48" s="19">
        <v>82.67982805149308</v>
      </c>
    </row>
    <row r="49" ht="15.75" customHeight="1">
      <c r="A49" s="14" t="s">
        <v>48</v>
      </c>
      <c r="B49" s="19">
        <v>43.551753775558275</v>
      </c>
      <c r="C49" s="19">
        <v>43.760676906693945</v>
      </c>
      <c r="D49" s="19">
        <v>48.308125116411226</v>
      </c>
      <c r="E49" s="19">
        <v>51.946936933359275</v>
      </c>
      <c r="F49" s="19">
        <v>57.06908211417816</v>
      </c>
      <c r="G49" s="19">
        <v>63.07594374971683</v>
      </c>
      <c r="H49" s="19">
        <v>69.20419609024461</v>
      </c>
      <c r="I49" s="19">
        <v>75.41068140893546</v>
      </c>
      <c r="J49" s="19">
        <v>81.68015030615746</v>
      </c>
    </row>
    <row r="50" ht="15.75" customHeight="1">
      <c r="A50" s="14" t="s">
        <v>49</v>
      </c>
      <c r="B50" s="19">
        <v>59.194151110408555</v>
      </c>
      <c r="C50" s="19">
        <v>56.35153197047151</v>
      </c>
      <c r="D50" s="19">
        <v>55.35711289593594</v>
      </c>
      <c r="E50" s="19">
        <v>55.777564292500884</v>
      </c>
      <c r="F50" s="19">
        <v>56.99798994996263</v>
      </c>
      <c r="G50" s="19">
        <v>58.468391738872995</v>
      </c>
      <c r="H50" s="19">
        <v>60.2737576892237</v>
      </c>
      <c r="I50" s="19">
        <v>62.431716034839425</v>
      </c>
      <c r="J50" s="19">
        <v>65.08838587630719</v>
      </c>
    </row>
    <row r="51" ht="15.75" customHeight="1">
      <c r="A51" s="14" t="s">
        <v>50</v>
      </c>
      <c r="B51" s="19">
        <v>52.41172803377137</v>
      </c>
      <c r="C51" s="19">
        <v>53.81759374491907</v>
      </c>
      <c r="D51" s="19">
        <v>55.13164448099426</v>
      </c>
      <c r="E51" s="19">
        <v>56.40255946195023</v>
      </c>
      <c r="F51" s="19">
        <v>56.974411608886975</v>
      </c>
      <c r="G51" s="19">
        <v>57.43485559115829</v>
      </c>
      <c r="H51" s="19">
        <v>57.786754327116164</v>
      </c>
      <c r="I51" s="19">
        <v>58.089173485409155</v>
      </c>
      <c r="J51" s="19">
        <v>58.34581215845144</v>
      </c>
    </row>
    <row r="52" ht="15.75" customHeight="1">
      <c r="A52" s="14" t="s">
        <v>51</v>
      </c>
      <c r="B52" s="19">
        <v>52.980099819029796</v>
      </c>
      <c r="C52" s="19">
        <v>53.774801316315234</v>
      </c>
      <c r="D52" s="19">
        <v>54.949427345757044</v>
      </c>
      <c r="E52" s="19">
        <v>55.932797971458214</v>
      </c>
      <c r="F52" s="19">
        <v>56.68248029350946</v>
      </c>
      <c r="G52" s="19">
        <v>57.584337767069044</v>
      </c>
      <c r="H52" s="19">
        <v>58.65463499482792</v>
      </c>
      <c r="I52" s="19">
        <v>59.88720200419519</v>
      </c>
      <c r="J52" s="19">
        <v>61.29610356492492</v>
      </c>
    </row>
    <row r="53" ht="15.75" customHeight="1">
      <c r="A53" s="14" t="s">
        <v>52</v>
      </c>
      <c r="B53" s="19">
        <v>45.82021851464886</v>
      </c>
      <c r="C53" s="19">
        <v>48.46075502199808</v>
      </c>
      <c r="D53" s="19">
        <v>50.639772612518314</v>
      </c>
      <c r="E53" s="19">
        <v>52.87245013064155</v>
      </c>
      <c r="F53" s="19">
        <v>55.16811382882965</v>
      </c>
      <c r="G53" s="19">
        <v>57.480279701354846</v>
      </c>
      <c r="H53" s="19">
        <v>59.81656386544842</v>
      </c>
      <c r="I53" s="19">
        <v>62.18574246729051</v>
      </c>
      <c r="J53" s="19">
        <v>64.5976593518616</v>
      </c>
    </row>
    <row r="54" ht="15.75" customHeight="1">
      <c r="A54" s="14" t="s">
        <v>53</v>
      </c>
      <c r="B54" s="19">
        <v>43.85225888591662</v>
      </c>
      <c r="C54" s="19">
        <v>44.46054086304379</v>
      </c>
      <c r="D54" s="19">
        <v>48.055037364084896</v>
      </c>
      <c r="E54" s="19">
        <v>51.674250149232975</v>
      </c>
      <c r="F54" s="19">
        <v>54.71906703632618</v>
      </c>
      <c r="G54" s="19">
        <v>57.75950977862996</v>
      </c>
      <c r="H54" s="19">
        <v>60.78928471261274</v>
      </c>
      <c r="I54" s="19">
        <v>63.80487625332561</v>
      </c>
      <c r="J54" s="19">
        <v>66.80536555252144</v>
      </c>
    </row>
    <row r="55" ht="15.75" customHeight="1">
      <c r="A55" s="14" t="s">
        <v>54</v>
      </c>
      <c r="B55" s="19">
        <v>52.067322330601755</v>
      </c>
      <c r="C55" s="19">
        <v>50.59186421047186</v>
      </c>
      <c r="D55" s="19">
        <v>49.80545912452271</v>
      </c>
      <c r="E55" s="19">
        <v>50.10852364069048</v>
      </c>
      <c r="F55" s="19">
        <v>50.773676029507435</v>
      </c>
      <c r="G55" s="19">
        <v>51.61408763104761</v>
      </c>
      <c r="H55" s="19">
        <v>52.750497663528954</v>
      </c>
      <c r="I55" s="19">
        <v>54.41097340216176</v>
      </c>
      <c r="J55" s="19">
        <v>56.57392356730306</v>
      </c>
    </row>
    <row r="56" ht="15.75" customHeight="1">
      <c r="A56" s="14" t="s">
        <v>55</v>
      </c>
      <c r="B56" s="19">
        <v>54.67625554099948</v>
      </c>
      <c r="C56" s="19">
        <v>55.44400554712425</v>
      </c>
      <c r="D56" s="19">
        <v>53.52096707993242</v>
      </c>
      <c r="E56" s="19">
        <v>51.933822071029695</v>
      </c>
      <c r="F56" s="19">
        <v>50.622316593433915</v>
      </c>
      <c r="G56" s="19">
        <v>49.54708464770529</v>
      </c>
      <c r="H56" s="19">
        <v>48.66891792321738</v>
      </c>
      <c r="I56" s="19">
        <v>47.9565639848462</v>
      </c>
      <c r="J56" s="19">
        <v>47.384889353542704</v>
      </c>
    </row>
    <row r="57" ht="15.75" customHeight="1">
      <c r="A57" s="14" t="s">
        <v>56</v>
      </c>
      <c r="B57" s="19">
        <v>51.4465307810251</v>
      </c>
      <c r="C57" s="19">
        <v>51.277543183624104</v>
      </c>
      <c r="D57" s="19">
        <v>48.69286898215056</v>
      </c>
      <c r="E57" s="19">
        <v>48.079811147356224</v>
      </c>
      <c r="F57" s="19">
        <v>47.436194138575416</v>
      </c>
      <c r="G57" s="19">
        <v>46.72525461692047</v>
      </c>
      <c r="H57" s="19">
        <v>46.51448847067579</v>
      </c>
      <c r="I57" s="19">
        <v>46.335014740212635</v>
      </c>
      <c r="J57" s="19">
        <v>46.204309567842934</v>
      </c>
    </row>
    <row r="58" ht="15.75" customHeight="1">
      <c r="A58" s="14" t="s">
        <v>57</v>
      </c>
      <c r="B58" s="19">
        <v>51.088475661852534</v>
      </c>
      <c r="C58" s="19">
        <v>46.74756782744152</v>
      </c>
      <c r="D58" s="19">
        <v>44.41657709225862</v>
      </c>
      <c r="E58" s="19">
        <v>44.71352324128505</v>
      </c>
      <c r="F58" s="19">
        <v>45.393240266743184</v>
      </c>
      <c r="G58" s="19">
        <v>46.579056345389134</v>
      </c>
      <c r="H58" s="19">
        <v>48.228787523031265</v>
      </c>
      <c r="I58" s="19">
        <v>50.15079075829581</v>
      </c>
      <c r="J58" s="19">
        <v>52.317263234347266</v>
      </c>
    </row>
    <row r="59" ht="15.75" customHeight="1">
      <c r="A59" s="14" t="s">
        <v>58</v>
      </c>
      <c r="B59" s="19">
        <v>56.134175121653854</v>
      </c>
      <c r="C59" s="19">
        <v>56.18265524875806</v>
      </c>
      <c r="D59" s="19">
        <v>49.63616230045606</v>
      </c>
      <c r="E59" s="19">
        <v>46.40661486040319</v>
      </c>
      <c r="F59" s="19">
        <v>44.61488097148096</v>
      </c>
      <c r="G59" s="19">
        <v>44.01554571295939</v>
      </c>
      <c r="H59" s="19">
        <v>43.535558885246466</v>
      </c>
      <c r="I59" s="19">
        <v>43.1461209892987</v>
      </c>
      <c r="J59" s="19">
        <v>42.826498959301915</v>
      </c>
    </row>
    <row r="60" ht="15.75" customHeight="1">
      <c r="A60" s="14" t="s">
        <v>59</v>
      </c>
      <c r="B60" s="19">
        <v>46.982323242626734</v>
      </c>
      <c r="C60" s="19">
        <v>48.40777053450456</v>
      </c>
      <c r="D60" s="19">
        <v>46.20583209240417</v>
      </c>
      <c r="E60" s="19">
        <v>45.057186584444224</v>
      </c>
      <c r="F60" s="19">
        <v>43.796767349623806</v>
      </c>
      <c r="G60" s="19">
        <v>42.61552241089314</v>
      </c>
      <c r="H60" s="19">
        <v>41.56943186607115</v>
      </c>
      <c r="I60" s="19">
        <v>40.66910700417515</v>
      </c>
      <c r="J60" s="19">
        <v>39.90447273206535</v>
      </c>
    </row>
    <row r="61" ht="15.75" customHeight="1">
      <c r="A61" s="14" t="s">
        <v>60</v>
      </c>
      <c r="B61" s="19">
        <v>35.819839477105496</v>
      </c>
      <c r="C61" s="19">
        <v>39.33705551817713</v>
      </c>
      <c r="D61" s="19">
        <v>39.39715715726706</v>
      </c>
      <c r="E61" s="19">
        <v>40.208544522412126</v>
      </c>
      <c r="F61" s="19">
        <v>41.30699673418526</v>
      </c>
      <c r="G61" s="19">
        <v>42.75799148626473</v>
      </c>
      <c r="H61" s="19">
        <v>44.72315900279024</v>
      </c>
      <c r="I61" s="19">
        <v>47.25921470937159</v>
      </c>
      <c r="J61" s="19">
        <v>50.59763739789629</v>
      </c>
    </row>
    <row r="62" ht="15.75" customHeight="1">
      <c r="A62" s="14" t="s">
        <v>61</v>
      </c>
      <c r="B62" s="19">
        <v>36.00043843784197</v>
      </c>
      <c r="C62" s="19">
        <v>36.45779634659942</v>
      </c>
      <c r="D62" s="19">
        <v>37.90178953314286</v>
      </c>
      <c r="E62" s="19">
        <v>39.26373303769045</v>
      </c>
      <c r="F62" s="19">
        <v>40.5704042842867</v>
      </c>
      <c r="G62" s="19">
        <v>41.816006906224814</v>
      </c>
      <c r="H62" s="19">
        <v>43.00168049965332</v>
      </c>
      <c r="I62" s="19">
        <v>44.12932978853665</v>
      </c>
      <c r="J62" s="19">
        <v>45.20145963980641</v>
      </c>
    </row>
    <row r="63" ht="15.75" customHeight="1">
      <c r="A63" s="14" t="s">
        <v>62</v>
      </c>
      <c r="B63" s="19">
        <v>33.27422870317757</v>
      </c>
      <c r="C63" s="19">
        <v>33.39074169993863</v>
      </c>
      <c r="D63" s="19">
        <v>35.64351388439331</v>
      </c>
      <c r="E63" s="19">
        <v>37.54738261695</v>
      </c>
      <c r="F63" s="19">
        <v>38.942492695783145</v>
      </c>
      <c r="G63" s="19">
        <v>40.472573685792014</v>
      </c>
      <c r="H63" s="19">
        <v>42.05146206340022</v>
      </c>
      <c r="I63" s="19">
        <v>43.63761638161545</v>
      </c>
      <c r="J63" s="19">
        <v>45.23176468065632</v>
      </c>
    </row>
    <row r="64" ht="15.75" customHeight="1">
      <c r="A64" s="14" t="s">
        <v>63</v>
      </c>
      <c r="B64" s="19">
        <v>39.35827987362356</v>
      </c>
      <c r="C64" s="19">
        <v>39.21803314094481</v>
      </c>
      <c r="D64" s="19">
        <v>39.090297233211956</v>
      </c>
      <c r="E64" s="19">
        <v>38.969688762145225</v>
      </c>
      <c r="F64" s="19">
        <v>38.85533839052289</v>
      </c>
      <c r="G64" s="19">
        <v>38.747647403936384</v>
      </c>
      <c r="H64" s="19">
        <v>38.645844284127676</v>
      </c>
      <c r="I64" s="19">
        <v>38.54924733492276</v>
      </c>
      <c r="J64" s="19">
        <v>38.45725313081394</v>
      </c>
    </row>
    <row r="65" ht="15.75" customHeight="1">
      <c r="A65" s="14" t="s">
        <v>64</v>
      </c>
      <c r="B65" s="19">
        <v>36.58611785908591</v>
      </c>
      <c r="C65" s="19">
        <v>37.10750937546447</v>
      </c>
      <c r="D65" s="19">
        <v>36.94034244246753</v>
      </c>
      <c r="E65" s="19">
        <v>36.944856869659304</v>
      </c>
      <c r="F65" s="19">
        <v>37.049834070750634</v>
      </c>
      <c r="G65" s="19">
        <v>37.22642423358429</v>
      </c>
      <c r="H65" s="19">
        <v>37.45335585635165</v>
      </c>
      <c r="I65" s="19">
        <v>37.72688732043849</v>
      </c>
      <c r="J65" s="19">
        <v>38.04394889806064</v>
      </c>
    </row>
    <row r="66" ht="15.75" customHeight="1">
      <c r="A66" s="14" t="s">
        <v>65</v>
      </c>
      <c r="B66" s="19">
        <v>33.57771044668699</v>
      </c>
      <c r="C66" s="19">
        <v>34.353881347853836</v>
      </c>
      <c r="D66" s="19">
        <v>34.60577339869744</v>
      </c>
      <c r="E66" s="19">
        <v>34.939185817152776</v>
      </c>
      <c r="F66" s="19">
        <v>35.302441002039245</v>
      </c>
      <c r="G66" s="19">
        <v>35.83968879901263</v>
      </c>
      <c r="H66" s="19">
        <v>36.32300698965044</v>
      </c>
      <c r="I66" s="19">
        <v>36.76678975232982</v>
      </c>
      <c r="J66" s="19">
        <v>37.17364684699728</v>
      </c>
    </row>
    <row r="67" ht="15.75" customHeight="1">
      <c r="A67" s="14" t="s">
        <v>66</v>
      </c>
      <c r="B67" s="19">
        <v>35.644011655831605</v>
      </c>
      <c r="C67" s="19">
        <v>36.76619733906879</v>
      </c>
      <c r="D67" s="19">
        <v>35.02506794578028</v>
      </c>
      <c r="E67" s="19">
        <v>34.660283817797236</v>
      </c>
      <c r="F67" s="19">
        <v>35.02052595623435</v>
      </c>
      <c r="G67" s="19">
        <v>35.84253425843425</v>
      </c>
      <c r="H67" s="19">
        <v>36.8203524485402</v>
      </c>
      <c r="I67" s="19">
        <v>37.99156632792672</v>
      </c>
      <c r="J67" s="19">
        <v>39.40614095305774</v>
      </c>
    </row>
    <row r="68" ht="15.75" customHeight="1">
      <c r="A68" s="4" t="s">
        <v>67</v>
      </c>
      <c r="B68" s="20">
        <v>23.972644281831847</v>
      </c>
      <c r="C68" s="20">
        <v>25.075385918796115</v>
      </c>
      <c r="D68" s="20">
        <v>27.222720811234417</v>
      </c>
      <c r="E68" s="20">
        <v>28.582513741544375</v>
      </c>
      <c r="F68" s="20">
        <v>29.946802036054194</v>
      </c>
      <c r="G68" s="20">
        <v>31.31263055227195</v>
      </c>
      <c r="H68" s="20">
        <v>32.65373373038385</v>
      </c>
      <c r="I68" s="20">
        <v>33.96038337184437</v>
      </c>
      <c r="J68" s="20">
        <v>35.23401194170261</v>
      </c>
    </row>
    <row r="69" ht="15.75" customHeight="1">
      <c r="B69" s="11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17" t="s">
        <v>68</v>
      </c>
      <c r="B71" s="2"/>
      <c r="C71" s="2"/>
      <c r="D71" s="2"/>
      <c r="E71" s="2"/>
      <c r="F71" s="2"/>
      <c r="G71" s="2"/>
      <c r="H71" s="2"/>
      <c r="I71" s="2"/>
      <c r="J71" s="3"/>
    </row>
    <row r="72" ht="15.75" customHeight="1">
      <c r="B72" s="5">
        <v>2020.0</v>
      </c>
      <c r="C72" s="5">
        <v>2021.0</v>
      </c>
      <c r="D72" s="5">
        <v>2022.0</v>
      </c>
      <c r="E72" s="5">
        <v>2023.0</v>
      </c>
      <c r="F72" s="5">
        <v>2024.0</v>
      </c>
      <c r="G72" s="5" t="s">
        <v>2</v>
      </c>
      <c r="H72" s="5" t="s">
        <v>3</v>
      </c>
      <c r="I72" s="5" t="s">
        <v>4</v>
      </c>
      <c r="J72" s="5" t="s">
        <v>5</v>
      </c>
    </row>
    <row r="73" ht="15.75" customHeight="1">
      <c r="A73" s="18" t="str">
        <f t="shared" ref="A73:A121" si="1">A20</f>
        <v>Turmeric</v>
      </c>
      <c r="B73" s="22">
        <v>-0.014289582644850807</v>
      </c>
      <c r="C73" s="22">
        <v>0.002754708907898804</v>
      </c>
      <c r="D73" s="22">
        <v>0.028044016933257115</v>
      </c>
      <c r="E73" s="22">
        <v>0.037952334951405535</v>
      </c>
      <c r="F73" s="22">
        <v>0.05116811934452515</v>
      </c>
      <c r="G73" s="22">
        <v>0.059389481877168436</v>
      </c>
      <c r="H73" s="22">
        <v>0.064377216111252</v>
      </c>
      <c r="I73" s="22">
        <v>0.06832599392697246</v>
      </c>
      <c r="J73" s="22">
        <v>0.07210490962939907</v>
      </c>
    </row>
    <row r="74" ht="15.75" customHeight="1">
      <c r="A74" s="14" t="str">
        <f t="shared" si="1"/>
        <v>Mushrooms</v>
      </c>
      <c r="B74" s="22">
        <v>0.7923794168308774</v>
      </c>
      <c r="C74" s="22">
        <v>0.426359628110177</v>
      </c>
      <c r="D74" s="22">
        <v>0.2393578623076987</v>
      </c>
      <c r="E74" s="22">
        <v>0.159450060178541</v>
      </c>
      <c r="F74" s="22">
        <v>0.16390357752763154</v>
      </c>
      <c r="G74" s="22">
        <v>0.16599120359372202</v>
      </c>
      <c r="H74" s="22">
        <v>0.1574005600862819</v>
      </c>
      <c r="I74" s="22">
        <v>0.14236599958967747</v>
      </c>
      <c r="J74" s="22">
        <v>0.12449308005103872</v>
      </c>
    </row>
    <row r="75" ht="15.75" customHeight="1">
      <c r="A75" s="14" t="str">
        <f t="shared" si="1"/>
        <v>Ashwagandha</v>
      </c>
      <c r="B75" s="22">
        <v>0.504207251743172</v>
      </c>
      <c r="C75" s="22">
        <v>0.26778760857016365</v>
      </c>
      <c r="D75" s="22">
        <v>0.21188583614744633</v>
      </c>
      <c r="E75" s="22">
        <v>0.15078506263417923</v>
      </c>
      <c r="F75" s="22">
        <v>0.1491605415864711</v>
      </c>
      <c r="G75" s="22">
        <v>0.15040906922950742</v>
      </c>
      <c r="H75" s="22">
        <v>0.14988727828760318</v>
      </c>
      <c r="I75" s="22">
        <v>0.14281960820943196</v>
      </c>
      <c r="J75" s="22">
        <v>0.13787086901274423</v>
      </c>
    </row>
    <row r="76" ht="15.75" customHeight="1">
      <c r="A76" s="14" t="str">
        <f t="shared" si="1"/>
        <v>Elderberry</v>
      </c>
      <c r="B76" s="22">
        <v>1.3100853835134134</v>
      </c>
      <c r="C76" s="22">
        <v>0.4111668936859834</v>
      </c>
      <c r="D76" s="22">
        <v>-0.19318669495388935</v>
      </c>
      <c r="E76" s="22">
        <v>-0.12982242381954714</v>
      </c>
      <c r="F76" s="22">
        <v>-0.07186987789269318</v>
      </c>
      <c r="G76" s="22">
        <v>-0.04574104904779479</v>
      </c>
      <c r="H76" s="22">
        <v>-0.032220442501812246</v>
      </c>
      <c r="I76" s="22">
        <v>-0.023750725957632304</v>
      </c>
      <c r="J76" s="22">
        <v>-0.01821908652689669</v>
      </c>
    </row>
    <row r="77" ht="15.75" customHeight="1">
      <c r="A77" s="14" t="str">
        <f t="shared" si="1"/>
        <v>Hemp/CBD</v>
      </c>
      <c r="B77" s="22">
        <v>-0.059328120176972886</v>
      </c>
      <c r="C77" s="22">
        <v>-0.06500000000000013</v>
      </c>
      <c r="D77" s="22">
        <v>-0.22699999999999995</v>
      </c>
      <c r="E77" s="22">
        <v>-0.12258640000000003</v>
      </c>
      <c r="F77" s="22">
        <v>-0.09059493561121006</v>
      </c>
      <c r="G77" s="22">
        <v>-0.06925158712293483</v>
      </c>
      <c r="H77" s="22">
        <v>-0.0486281708694368</v>
      </c>
      <c r="I77" s="22">
        <v>-0.027859067525165218</v>
      </c>
      <c r="J77" s="22">
        <v>-0.02277317567634868</v>
      </c>
    </row>
    <row r="78" ht="15.75" customHeight="1">
      <c r="A78" s="14" t="str">
        <f t="shared" si="1"/>
        <v>Fruit and vegetable supplements</v>
      </c>
      <c r="B78" s="22">
        <v>0.1837740139128472</v>
      </c>
      <c r="C78" s="22">
        <v>0.052999999999999825</v>
      </c>
      <c r="D78" s="22">
        <v>0.04834895503820479</v>
      </c>
      <c r="E78" s="22">
        <v>0.04697425719485001</v>
      </c>
      <c r="F78" s="22">
        <v>0.04580277904213502</v>
      </c>
      <c r="G78" s="22">
        <v>0.0449621577720903</v>
      </c>
      <c r="H78" s="22">
        <v>0.044527595796994314</v>
      </c>
      <c r="I78" s="22">
        <v>0.04395485344512294</v>
      </c>
      <c r="J78" s="22">
        <v>0.041805052726368155</v>
      </c>
    </row>
    <row r="79" ht="15.75" customHeight="1">
      <c r="A79" s="14" t="str">
        <f t="shared" si="1"/>
        <v>Cranberry</v>
      </c>
      <c r="B79" s="22">
        <v>0.06282540489533393</v>
      </c>
      <c r="C79" s="22">
        <v>0.021452551389291783</v>
      </c>
      <c r="D79" s="22">
        <v>0.05119298826583819</v>
      </c>
      <c r="E79" s="22">
        <v>0.04688582110570718</v>
      </c>
      <c r="F79" s="22">
        <v>0.054078265058747896</v>
      </c>
      <c r="G79" s="22">
        <v>0.05649249607773614</v>
      </c>
      <c r="H79" s="22">
        <v>0.056712611617394736</v>
      </c>
      <c r="I79" s="22">
        <v>0.05528653741283562</v>
      </c>
      <c r="J79" s="22">
        <v>0.05153260638978402</v>
      </c>
    </row>
    <row r="80" ht="15.75" customHeight="1">
      <c r="A80" s="14" t="str">
        <f t="shared" si="1"/>
        <v>Echinacea</v>
      </c>
      <c r="B80" s="22">
        <v>0.4457995383440172</v>
      </c>
      <c r="C80" s="22">
        <v>0.09163367029149427</v>
      </c>
      <c r="D80" s="22">
        <v>-0.01526146341526845</v>
      </c>
      <c r="E80" s="22">
        <v>-0.00907956796118971</v>
      </c>
      <c r="F80" s="22">
        <v>-0.008800757519791908</v>
      </c>
      <c r="G80" s="22">
        <v>-0.00223671268110619</v>
      </c>
      <c r="H80" s="22">
        <v>3.559859365131989E-6</v>
      </c>
      <c r="I80" s="22">
        <v>0.0018999584391937324</v>
      </c>
      <c r="J80" s="22">
        <v>0.003945150920355131</v>
      </c>
    </row>
    <row r="81" ht="15.75" customHeight="1">
      <c r="A81" s="14" t="str">
        <f t="shared" si="1"/>
        <v>Milk thistle</v>
      </c>
      <c r="B81" s="22">
        <v>0.023117186479779114</v>
      </c>
      <c r="C81" s="22">
        <v>0.0625826141498641</v>
      </c>
      <c r="D81" s="22">
        <v>0.007454467129738513</v>
      </c>
      <c r="E81" s="22">
        <v>0.03042755101788755</v>
      </c>
      <c r="F81" s="22">
        <v>0.045997080912423306</v>
      </c>
      <c r="G81" s="22">
        <v>0.05244249376025352</v>
      </c>
      <c r="H81" s="22">
        <v>0.05870230581817544</v>
      </c>
      <c r="I81" s="22">
        <v>0.06100810872739453</v>
      </c>
      <c r="J81" s="22">
        <v>0.059279927858925094</v>
      </c>
    </row>
    <row r="82" ht="15.75" customHeight="1">
      <c r="A82" s="14" t="str">
        <f t="shared" si="1"/>
        <v>Maca</v>
      </c>
      <c r="B82" s="22">
        <v>0.06298603732082021</v>
      </c>
      <c r="C82" s="22">
        <v>0.07395875278844913</v>
      </c>
      <c r="D82" s="22">
        <v>0.04349461781251379</v>
      </c>
      <c r="E82" s="22">
        <v>0.0643968052417741</v>
      </c>
      <c r="F82" s="22">
        <v>0.08777194697778735</v>
      </c>
      <c r="G82" s="22">
        <v>0.08494790955908534</v>
      </c>
      <c r="H82" s="22">
        <v>0.08542058498181057</v>
      </c>
      <c r="I82" s="22">
        <v>0.08566957164193062</v>
      </c>
      <c r="J82" s="22">
        <v>0.08461874163712038</v>
      </c>
    </row>
    <row r="83" ht="15.75" customHeight="1">
      <c r="A83" s="14" t="str">
        <f t="shared" si="1"/>
        <v>Saw palmetto</v>
      </c>
      <c r="B83" s="22">
        <v>0.021113642146067424</v>
      </c>
      <c r="C83" s="22">
        <v>0.020070857238464298</v>
      </c>
      <c r="D83" s="22">
        <v>0.02935414867475725</v>
      </c>
      <c r="E83" s="22">
        <v>0.021105540118097815</v>
      </c>
      <c r="F83" s="22">
        <v>0.0140147669025222</v>
      </c>
      <c r="G83" s="22">
        <v>0.014713978679435052</v>
      </c>
      <c r="H83" s="22">
        <v>0.016833438638485333</v>
      </c>
      <c r="I83" s="22">
        <v>0.019580046145593347</v>
      </c>
      <c r="J83" s="22">
        <v>0.020985353419576584</v>
      </c>
    </row>
    <row r="84" ht="15.75" customHeight="1">
      <c r="A84" s="14" t="str">
        <f t="shared" si="1"/>
        <v>Aloe</v>
      </c>
      <c r="B84" s="22">
        <v>0.09742880384872438</v>
      </c>
      <c r="C84" s="22">
        <v>0.0700781733826964</v>
      </c>
      <c r="D84" s="22">
        <v>0.19035590696549173</v>
      </c>
      <c r="E84" s="22">
        <v>0.015349718081176494</v>
      </c>
      <c r="F84" s="22">
        <v>-0.013504819161730481</v>
      </c>
      <c r="G84" s="22">
        <v>-0.010444060141919934</v>
      </c>
      <c r="H84" s="22">
        <v>0.0025445978082901236</v>
      </c>
      <c r="I84" s="22">
        <v>0.012307794220891415</v>
      </c>
      <c r="J84" s="22">
        <v>0.0197870436790323</v>
      </c>
    </row>
    <row r="85" ht="15.75" customHeight="1">
      <c r="A85" s="14" t="str">
        <f t="shared" si="1"/>
        <v>Resveratrol</v>
      </c>
      <c r="B85" s="22">
        <v>0.07728008453496184</v>
      </c>
      <c r="C85" s="22">
        <v>0.04147372352236517</v>
      </c>
      <c r="D85" s="22">
        <v>0.08776447407624301</v>
      </c>
      <c r="E85" s="22">
        <v>0.08556203999220176</v>
      </c>
      <c r="F85" s="22">
        <v>0.08949730396951265</v>
      </c>
      <c r="G85" s="22">
        <v>0.092401404867567</v>
      </c>
      <c r="H85" s="22">
        <v>0.08923577763897542</v>
      </c>
      <c r="I85" s="22">
        <v>0.08895097431604213</v>
      </c>
      <c r="J85" s="22">
        <v>0.08676585924791497</v>
      </c>
    </row>
    <row r="86" ht="15.75" customHeight="1">
      <c r="A86" s="14" t="str">
        <f t="shared" si="1"/>
        <v>Green tea</v>
      </c>
      <c r="B86" s="22">
        <v>-0.07205499166045616</v>
      </c>
      <c r="C86" s="22">
        <v>-0.020846727661199018</v>
      </c>
      <c r="D86" s="22">
        <v>-0.004014147140857607</v>
      </c>
      <c r="E86" s="22">
        <v>0.012829697081938426</v>
      </c>
      <c r="F86" s="22">
        <v>0.03405875841421109</v>
      </c>
      <c r="G86" s="22">
        <v>0.033957736577725696</v>
      </c>
      <c r="H86" s="22">
        <v>0.03209013455105607</v>
      </c>
      <c r="I86" s="22">
        <v>0.027824981698350505</v>
      </c>
      <c r="J86" s="22">
        <v>0.02661937787418233</v>
      </c>
    </row>
    <row r="87" ht="15.75" customHeight="1">
      <c r="A87" s="14" t="str">
        <f t="shared" si="1"/>
        <v>Green foods</v>
      </c>
      <c r="B87" s="22">
        <v>0.03710194495560678</v>
      </c>
      <c r="C87" s="22">
        <v>0.008958072868239719</v>
      </c>
      <c r="D87" s="22">
        <v>-0.005970125398642321</v>
      </c>
      <c r="E87" s="22">
        <v>0.028586186468636414</v>
      </c>
      <c r="F87" s="22">
        <v>0.0428762000770964</v>
      </c>
      <c r="G87" s="22">
        <v>0.06097355561368399</v>
      </c>
      <c r="H87" s="22">
        <v>0.06860018977526111</v>
      </c>
      <c r="I87" s="22">
        <v>0.07503412014513453</v>
      </c>
      <c r="J87" s="22">
        <v>0.08166525028460521</v>
      </c>
    </row>
    <row r="88" ht="15.75" customHeight="1">
      <c r="A88" s="14" t="str">
        <f t="shared" si="1"/>
        <v>Ginger</v>
      </c>
      <c r="B88" s="22">
        <v>0.0879855368166437</v>
      </c>
      <c r="C88" s="22">
        <v>0.11383374217699872</v>
      </c>
      <c r="D88" s="22">
        <v>-0.013885872097819545</v>
      </c>
      <c r="E88" s="22">
        <v>0.011315903809574767</v>
      </c>
      <c r="F88" s="22">
        <v>0.03570914267596282</v>
      </c>
      <c r="G88" s="22">
        <v>0.038209782162048865</v>
      </c>
      <c r="H88" s="22">
        <v>0.04261912070704031</v>
      </c>
      <c r="I88" s="22">
        <v>0.04275880255172771</v>
      </c>
      <c r="J88" s="22">
        <v>0.0423188100897807</v>
      </c>
    </row>
    <row r="89" ht="15.75" customHeight="1">
      <c r="A89" s="14" t="str">
        <f t="shared" si="1"/>
        <v>Garlic</v>
      </c>
      <c r="B89" s="22">
        <v>0.07216017164122494</v>
      </c>
      <c r="C89" s="22">
        <v>0.043075278848698356</v>
      </c>
      <c r="D89" s="22">
        <v>-0.021547616812622676</v>
      </c>
      <c r="E89" s="22">
        <v>-0.006192624738982115</v>
      </c>
      <c r="F89" s="22">
        <v>0.0011584614499528978</v>
      </c>
      <c r="G89" s="22">
        <v>0.006846553401353052</v>
      </c>
      <c r="H89" s="22">
        <v>0.010801701561325407</v>
      </c>
      <c r="I89" s="22">
        <v>0.011794379279874624</v>
      </c>
      <c r="J89" s="22">
        <v>0.012760247329881137</v>
      </c>
    </row>
    <row r="90" ht="15.75" customHeight="1">
      <c r="A90" s="14" t="str">
        <f t="shared" si="1"/>
        <v>Ginkgo biloba</v>
      </c>
      <c r="B90" s="22">
        <v>0.021237555545717875</v>
      </c>
      <c r="C90" s="22">
        <v>1.1739623639574704E-4</v>
      </c>
      <c r="D90" s="22">
        <v>0.016121159730596205</v>
      </c>
      <c r="E90" s="22">
        <v>0.026644942606960743</v>
      </c>
      <c r="F90" s="22">
        <v>0.04732800470324769</v>
      </c>
      <c r="G90" s="22">
        <v>0.04773093043460635</v>
      </c>
      <c r="H90" s="22">
        <v>0.04687816592616706</v>
      </c>
      <c r="I90" s="22">
        <v>0.048439413206683865</v>
      </c>
      <c r="J90" s="22">
        <v>0.049609663006175184</v>
      </c>
    </row>
    <row r="91" ht="15.75" customHeight="1">
      <c r="A91" s="14" t="str">
        <f t="shared" si="1"/>
        <v>Cinnamon</v>
      </c>
      <c r="B91" s="22">
        <v>-0.1799822820525246</v>
      </c>
      <c r="C91" s="22">
        <v>0.06130377786323882</v>
      </c>
      <c r="D91" s="22">
        <v>0.2285969589102745</v>
      </c>
      <c r="E91" s="22">
        <v>0.2808403225081212</v>
      </c>
      <c r="F91" s="22">
        <v>0.19382711294602312</v>
      </c>
      <c r="G91" s="22">
        <v>0.16300268668025403</v>
      </c>
      <c r="H91" s="22">
        <v>0.14895879512549404</v>
      </c>
      <c r="I91" s="22">
        <v>0.13584475079073335</v>
      </c>
      <c r="J91" s="22">
        <v>0.1236277085792009</v>
      </c>
    </row>
    <row r="92" ht="15.75" customHeight="1">
      <c r="A92" s="14" t="str">
        <f t="shared" si="1"/>
        <v>Rosehips</v>
      </c>
      <c r="B92" s="22">
        <v>6.901861430599627</v>
      </c>
      <c r="C92" s="22">
        <v>0.13750724585463941</v>
      </c>
      <c r="D92" s="22">
        <v>-0.3775943128512076</v>
      </c>
      <c r="E92" s="22">
        <v>-0.3424133510157389</v>
      </c>
      <c r="F92" s="22">
        <v>-0.08476489137206598</v>
      </c>
      <c r="G92" s="22">
        <v>-0.026287238125066517</v>
      </c>
      <c r="H92" s="22">
        <v>-0.023364398368893174</v>
      </c>
      <c r="I92" s="22">
        <v>-0.020787510177574783</v>
      </c>
      <c r="J92" s="22">
        <v>-0.018512471840106688</v>
      </c>
    </row>
    <row r="93" ht="15.75" customHeight="1">
      <c r="A93" s="14" t="str">
        <f t="shared" si="1"/>
        <v>Acai</v>
      </c>
      <c r="B93" s="22">
        <v>-0.007469870629902869</v>
      </c>
      <c r="C93" s="22">
        <v>-0.08747014381452889</v>
      </c>
      <c r="D93" s="22">
        <v>-0.06253736903807952</v>
      </c>
      <c r="E93" s="22">
        <v>-0.05298676400981673</v>
      </c>
      <c r="F93" s="22">
        <v>-0.04548450169439182</v>
      </c>
      <c r="G93" s="22">
        <v>-0.04010042943675349</v>
      </c>
      <c r="H93" s="22">
        <v>-0.03593062637338467</v>
      </c>
      <c r="I93" s="22">
        <v>-0.032676118065379595</v>
      </c>
      <c r="J93" s="22">
        <v>-0.030114414459715334</v>
      </c>
    </row>
    <row r="94" ht="15.75" customHeight="1">
      <c r="A94" s="14" t="str">
        <f t="shared" si="1"/>
        <v>Berberine</v>
      </c>
      <c r="B94" s="22">
        <v>0.04621976053386689</v>
      </c>
      <c r="C94" s="22">
        <v>0.06324678589450698</v>
      </c>
      <c r="D94" s="22">
        <v>0.07562757709917772</v>
      </c>
      <c r="E94" s="22">
        <v>0.8553558703959956</v>
      </c>
      <c r="F94" s="22">
        <v>0.40605767544298504</v>
      </c>
      <c r="G94" s="22">
        <v>0.09632426086689687</v>
      </c>
      <c r="H94" s="22">
        <v>0.06748483097339134</v>
      </c>
      <c r="I94" s="22">
        <v>0.05241244936943342</v>
      </c>
      <c r="J94" s="22">
        <v>0.04056580106719947</v>
      </c>
    </row>
    <row r="95" ht="15.75" customHeight="1">
      <c r="A95" s="14" t="str">
        <f t="shared" si="1"/>
        <v>Valerian</v>
      </c>
      <c r="B95" s="22">
        <v>-0.011733467533375902</v>
      </c>
      <c r="C95" s="22">
        <v>-0.021815483158163784</v>
      </c>
      <c r="D95" s="22">
        <v>-0.013575603344672714</v>
      </c>
      <c r="E95" s="22">
        <v>-0.0031007344181792195</v>
      </c>
      <c r="F95" s="22">
        <v>0.010301159871678154</v>
      </c>
      <c r="G95" s="22">
        <v>0.020361519511051532</v>
      </c>
      <c r="H95" s="22">
        <v>0.031238610959296125</v>
      </c>
      <c r="I95" s="22">
        <v>0.04208860512015904</v>
      </c>
      <c r="J95" s="22">
        <v>0.050213196462556745</v>
      </c>
    </row>
    <row r="96" ht="15.75" customHeight="1">
      <c r="A96" s="14" t="str">
        <f t="shared" si="1"/>
        <v>Oregano</v>
      </c>
      <c r="B96" s="22">
        <v>0.25223205036406426</v>
      </c>
      <c r="C96" s="22">
        <v>0.2544585320008036</v>
      </c>
      <c r="D96" s="22">
        <v>0.057973517526651294</v>
      </c>
      <c r="E96" s="22">
        <v>0.05400040642776325</v>
      </c>
      <c r="F96" s="22">
        <v>0.059725414480287335</v>
      </c>
      <c r="G96" s="22">
        <v>0.0629357172453707</v>
      </c>
      <c r="H96" s="22">
        <v>0.06518154576548733</v>
      </c>
      <c r="I96" s="22">
        <v>0.06472422658717115</v>
      </c>
      <c r="J96" s="22">
        <v>0.06008733345215797</v>
      </c>
    </row>
    <row r="97" ht="15.75" customHeight="1">
      <c r="A97" s="14" t="str">
        <f t="shared" si="1"/>
        <v>Astralagus</v>
      </c>
      <c r="B97" s="22">
        <v>0.30539696564364205</v>
      </c>
      <c r="C97" s="22">
        <v>0.30154831343638755</v>
      </c>
      <c r="D97" s="22">
        <v>-0.04574920102814256</v>
      </c>
      <c r="E97" s="22">
        <v>-0.037963318096415795</v>
      </c>
      <c r="F97" s="22">
        <v>-0.030033248734765167</v>
      </c>
      <c r="G97" s="22">
        <v>-0.022642745971904965</v>
      </c>
      <c r="H97" s="22">
        <v>-0.015944683416562307</v>
      </c>
      <c r="I97" s="22">
        <v>-0.009861050245943134</v>
      </c>
      <c r="J97" s="22">
        <v>-0.004320659766253419</v>
      </c>
    </row>
    <row r="98" ht="15.75" customHeight="1">
      <c r="A98" s="14" t="str">
        <f t="shared" si="1"/>
        <v>Ginseng</v>
      </c>
      <c r="B98" s="22">
        <v>-0.040146878094024264</v>
      </c>
      <c r="C98" s="22">
        <v>-0.019235467680633507</v>
      </c>
      <c r="D98" s="22">
        <v>-0.01050953808966935</v>
      </c>
      <c r="E98" s="22">
        <v>-0.007302016594825938</v>
      </c>
      <c r="F98" s="22">
        <v>0.002878079400290401</v>
      </c>
      <c r="G98" s="22">
        <v>0.01077746959591893</v>
      </c>
      <c r="H98" s="22">
        <v>0.014708856572383733</v>
      </c>
      <c r="I98" s="22">
        <v>0.016147117168351523</v>
      </c>
      <c r="J98" s="22">
        <v>0.01553291648198521</v>
      </c>
    </row>
    <row r="99" ht="15.75" customHeight="1">
      <c r="A99" s="14" t="str">
        <f t="shared" si="1"/>
        <v>Stevia</v>
      </c>
      <c r="B99" s="22">
        <v>-0.12474839017075257</v>
      </c>
      <c r="C99" s="22">
        <v>-0.02040924656308505</v>
      </c>
      <c r="D99" s="22">
        <v>-0.013510950957763418</v>
      </c>
      <c r="E99" s="22">
        <v>0.005502269962724989</v>
      </c>
      <c r="F99" s="22">
        <v>0.020203302676601316</v>
      </c>
      <c r="G99" s="22">
        <v>0.03106728982567404</v>
      </c>
      <c r="H99" s="22">
        <v>0.04585120365625678</v>
      </c>
      <c r="I99" s="22">
        <v>0.05469596143962739</v>
      </c>
      <c r="J99" s="22">
        <v>0.06589046038793396</v>
      </c>
    </row>
    <row r="100" ht="15.75" customHeight="1">
      <c r="A100" s="14" t="str">
        <f t="shared" si="1"/>
        <v>Fenugreek</v>
      </c>
      <c r="B100" s="22">
        <v>-0.029125518735993835</v>
      </c>
      <c r="C100" s="22">
        <v>-0.02341598912545604</v>
      </c>
      <c r="D100" s="22">
        <v>0.02340528238825462</v>
      </c>
      <c r="E100" s="22">
        <v>0.025031148207188193</v>
      </c>
      <c r="F100" s="22">
        <v>0.013619500058181655</v>
      </c>
      <c r="G100" s="22">
        <v>0.012418016188285435</v>
      </c>
      <c r="H100" s="22">
        <v>0.013679025107952733</v>
      </c>
      <c r="I100" s="22">
        <v>0.01654347956890486</v>
      </c>
      <c r="J100" s="22">
        <v>0.017352889373395224</v>
      </c>
    </row>
    <row r="101" ht="15.75" customHeight="1">
      <c r="A101" s="14" t="str">
        <f t="shared" si="1"/>
        <v>Bitter melon</v>
      </c>
      <c r="B101" s="22">
        <v>0.4620123919828099</v>
      </c>
      <c r="C101" s="22">
        <v>0.19292637897894152</v>
      </c>
      <c r="D101" s="22">
        <v>-0.3700620763508616</v>
      </c>
      <c r="E101" s="22">
        <v>0.014809487941373529</v>
      </c>
      <c r="F101" s="22">
        <v>0.028911463124297182</v>
      </c>
      <c r="G101" s="22">
        <v>0.03810914784120613</v>
      </c>
      <c r="H101" s="22">
        <v>0.04390379713796928</v>
      </c>
      <c r="I101" s="22">
        <v>0.0497291554613762</v>
      </c>
      <c r="J101" s="22">
        <v>0.05632397981935384</v>
      </c>
    </row>
    <row r="102" ht="15.75" customHeight="1">
      <c r="A102" s="14" t="str">
        <f t="shared" si="1"/>
        <v>Kava </v>
      </c>
      <c r="B102" s="22">
        <v>-0.003777120717767288</v>
      </c>
      <c r="C102" s="22">
        <v>0.004797123261955063</v>
      </c>
      <c r="D102" s="22">
        <v>0.10391631325569534</v>
      </c>
      <c r="E102" s="22">
        <v>0.07532504745691057</v>
      </c>
      <c r="F102" s="22">
        <v>0.09860341115761813</v>
      </c>
      <c r="G102" s="22">
        <v>0.10525597071143945</v>
      </c>
      <c r="H102" s="22">
        <v>0.09715672848026617</v>
      </c>
      <c r="I102" s="22">
        <v>0.08968365604012488</v>
      </c>
      <c r="J102" s="22">
        <v>0.0831376773168784</v>
      </c>
    </row>
    <row r="103" ht="15.75" customHeight="1">
      <c r="A103" s="14" t="str">
        <f t="shared" si="1"/>
        <v>Red yeast rice</v>
      </c>
      <c r="B103" s="22">
        <v>-0.03701659866983981</v>
      </c>
      <c r="C103" s="22">
        <v>-0.04802195971414485</v>
      </c>
      <c r="D103" s="22">
        <v>-0.017646708789685644</v>
      </c>
      <c r="E103" s="22">
        <v>0.007595255145537226</v>
      </c>
      <c r="F103" s="22">
        <v>0.021880225014160908</v>
      </c>
      <c r="G103" s="22">
        <v>0.025797432334038462</v>
      </c>
      <c r="H103" s="22">
        <v>0.03087763998048194</v>
      </c>
      <c r="I103" s="22">
        <v>0.03580261839227497</v>
      </c>
      <c r="J103" s="22">
        <v>0.04255320869260155</v>
      </c>
    </row>
    <row r="104" ht="15.75" customHeight="1">
      <c r="A104" s="14" t="str">
        <f t="shared" si="1"/>
        <v>Senna</v>
      </c>
      <c r="B104" s="22">
        <v>0.2524334830743941</v>
      </c>
      <c r="C104" s="22">
        <v>0.026823494738464616</v>
      </c>
      <c r="D104" s="22">
        <v>0.024416750074398263</v>
      </c>
      <c r="E104" s="22">
        <v>0.02305236843414129</v>
      </c>
      <c r="F104" s="22">
        <v>0.010138762360997451</v>
      </c>
      <c r="G104" s="22">
        <v>0.008081592582862123</v>
      </c>
      <c r="H104" s="22">
        <v>0.006126919487058777</v>
      </c>
      <c r="I104" s="22">
        <v>0.005233364666599433</v>
      </c>
      <c r="J104" s="22">
        <v>0.004418012129347039</v>
      </c>
    </row>
    <row r="105" ht="15.75" customHeight="1">
      <c r="A105" s="14" t="str">
        <f t="shared" si="1"/>
        <v>Horny goat weed</v>
      </c>
      <c r="B105" s="22">
        <v>0.008142971847426374</v>
      </c>
      <c r="C105" s="22">
        <v>0.014999999999999824</v>
      </c>
      <c r="D105" s="22">
        <v>0.021843428533234396</v>
      </c>
      <c r="E105" s="22">
        <v>0.017895921271636354</v>
      </c>
      <c r="F105" s="22">
        <v>0.0134032687303395</v>
      </c>
      <c r="G105" s="22">
        <v>0.015910691785003924</v>
      </c>
      <c r="H105" s="22">
        <v>0.01858660304627056</v>
      </c>
      <c r="I105" s="22">
        <v>0.021013974590003866</v>
      </c>
      <c r="J105" s="22">
        <v>0.02352592062375924</v>
      </c>
    </row>
    <row r="106" ht="15.75" customHeight="1">
      <c r="A106" s="14" t="str">
        <f t="shared" si="1"/>
        <v>Peppermint and other mints</v>
      </c>
      <c r="B106" s="22">
        <v>-0.05467038041053135</v>
      </c>
      <c r="C106" s="22">
        <v>0.05762819543309331</v>
      </c>
      <c r="D106" s="22">
        <v>0.044964581949478444</v>
      </c>
      <c r="E106" s="22">
        <v>0.04408940646726589</v>
      </c>
      <c r="F106" s="22">
        <v>0.04341890138466783</v>
      </c>
      <c r="G106" s="22">
        <v>0.041911272872209596</v>
      </c>
      <c r="H106" s="22">
        <v>0.04064496860892118</v>
      </c>
      <c r="I106" s="22">
        <v>0.039607400504838845</v>
      </c>
      <c r="J106" s="22">
        <v>0.03878568927338521</v>
      </c>
    </row>
    <row r="107" ht="15.75" customHeight="1">
      <c r="A107" s="14" t="str">
        <f t="shared" si="1"/>
        <v>Cascara sagrada</v>
      </c>
      <c r="B107" s="22">
        <v>0.12759068836316043</v>
      </c>
      <c r="C107" s="22">
        <v>0.013871166333976994</v>
      </c>
      <c r="D107" s="22">
        <v>0.0808468910019244</v>
      </c>
      <c r="E107" s="22">
        <v>0.07531391054235213</v>
      </c>
      <c r="F107" s="22">
        <v>0.05892329116145676</v>
      </c>
      <c r="G107" s="22">
        <v>0.055564593970239516</v>
      </c>
      <c r="H107" s="22">
        <v>0.052454997377829965</v>
      </c>
      <c r="I107" s="22">
        <v>0.04960728778055822</v>
      </c>
      <c r="J107" s="22">
        <v>0.047026018627211695</v>
      </c>
    </row>
    <row r="108" ht="15.75" customHeight="1">
      <c r="A108" s="14" t="str">
        <f t="shared" si="1"/>
        <v>Garcinia</v>
      </c>
      <c r="B108" s="22">
        <v>-0.18517410844983065</v>
      </c>
      <c r="C108" s="22">
        <v>-0.028337507175065845</v>
      </c>
      <c r="D108" s="22">
        <v>-0.015544101768568014</v>
      </c>
      <c r="E108" s="22">
        <v>0.006084965814892881</v>
      </c>
      <c r="F108" s="22">
        <v>0.01327423640709345</v>
      </c>
      <c r="G108" s="22">
        <v>0.01655211257604758</v>
      </c>
      <c r="H108" s="22">
        <v>0.022017439126401504</v>
      </c>
      <c r="I108" s="22">
        <v>0.03147791608003799</v>
      </c>
      <c r="J108" s="22">
        <v>0.039752094658453016</v>
      </c>
    </row>
    <row r="109" ht="15.75" customHeight="1">
      <c r="A109" s="14" t="str">
        <f t="shared" si="1"/>
        <v>Olive leaf extract</v>
      </c>
      <c r="B109" s="22">
        <v>0.12522745057265874</v>
      </c>
      <c r="C109" s="22">
        <v>0.014041744419550953</v>
      </c>
      <c r="D109" s="22">
        <v>-0.034684335091146275</v>
      </c>
      <c r="E109" s="22">
        <v>-0.02965463995694167</v>
      </c>
      <c r="F109" s="22">
        <v>-0.025253397984112146</v>
      </c>
      <c r="G109" s="22">
        <v>-0.021240275397987025</v>
      </c>
      <c r="H109" s="22">
        <v>-0.01772388286277471</v>
      </c>
      <c r="I109" s="22">
        <v>-0.014636732616390338</v>
      </c>
      <c r="J109" s="22">
        <v>-0.011920675373743169</v>
      </c>
    </row>
    <row r="110" ht="15.75" customHeight="1">
      <c r="A110" s="14" t="str">
        <f t="shared" si="1"/>
        <v>St. john's wort</v>
      </c>
      <c r="B110" s="22">
        <v>-4.6334867753712047E-4</v>
      </c>
      <c r="C110" s="22">
        <v>-0.003284722892594472</v>
      </c>
      <c r="D110" s="22">
        <v>-0.050405577978216855</v>
      </c>
      <c r="E110" s="22">
        <v>-0.0125903001324293</v>
      </c>
      <c r="F110" s="22">
        <v>-0.013386429634846823</v>
      </c>
      <c r="G110" s="22">
        <v>-0.014987279957116172</v>
      </c>
      <c r="H110" s="22">
        <v>-0.004510754365549371</v>
      </c>
      <c r="I110" s="22">
        <v>-0.003858447902233819</v>
      </c>
      <c r="J110" s="22">
        <v>-0.002820872575578718</v>
      </c>
    </row>
    <row r="111" ht="15.75" customHeight="1">
      <c r="A111" s="14" t="str">
        <f t="shared" si="1"/>
        <v>Black cohosh root</v>
      </c>
      <c r="B111" s="22">
        <v>-0.046078052863950086</v>
      </c>
      <c r="C111" s="22">
        <v>-0.08496843521311682</v>
      </c>
      <c r="D111" s="22">
        <v>-0.049863358534228915</v>
      </c>
      <c r="E111" s="22">
        <v>0.006685480252330994</v>
      </c>
      <c r="F111" s="22">
        <v>0.015201598446854954</v>
      </c>
      <c r="G111" s="22">
        <v>0.02612318644092749</v>
      </c>
      <c r="H111" s="22">
        <v>0.035417874621786714</v>
      </c>
      <c r="I111" s="22">
        <v>0.03985178425534149</v>
      </c>
      <c r="J111" s="22">
        <v>0.04319916881256914</v>
      </c>
    </row>
    <row r="112" ht="15.75" customHeight="1">
      <c r="A112" s="14" t="str">
        <f t="shared" si="1"/>
        <v>Other chinese herbs </v>
      </c>
      <c r="B112" s="22">
        <v>-0.002526800971325729</v>
      </c>
      <c r="C112" s="22">
        <v>8.636472701191366E-4</v>
      </c>
      <c r="D112" s="22">
        <v>-0.11652160118307538</v>
      </c>
      <c r="E112" s="22">
        <v>-0.0650644064805791</v>
      </c>
      <c r="F112" s="22">
        <v>-0.03860945027582785</v>
      </c>
      <c r="G112" s="22">
        <v>-0.013433528129430217</v>
      </c>
      <c r="H112" s="22">
        <v>-0.010904938696956775</v>
      </c>
      <c r="I112" s="22">
        <v>-0.008945283026554632</v>
      </c>
      <c r="J112" s="22">
        <v>-0.007407897226173828</v>
      </c>
    </row>
    <row r="113" ht="15.75" customHeight="1">
      <c r="A113" s="14" t="str">
        <f t="shared" si="1"/>
        <v>Goji juice</v>
      </c>
      <c r="B113" s="22">
        <v>0.04385390657752751</v>
      </c>
      <c r="C113" s="22">
        <v>0.030340076724527</v>
      </c>
      <c r="D113" s="22">
        <v>-0.0454872930066231</v>
      </c>
      <c r="E113" s="22">
        <v>-0.02485931874709762</v>
      </c>
      <c r="F113" s="22">
        <v>-0.027973766903048747</v>
      </c>
      <c r="G113" s="22">
        <v>-0.026971053121362634</v>
      </c>
      <c r="H113" s="22">
        <v>-0.024547171679270497</v>
      </c>
      <c r="I113" s="22">
        <v>-0.021658339348891567</v>
      </c>
      <c r="J113" s="22">
        <v>-0.018801353863789134</v>
      </c>
    </row>
    <row r="114" ht="15.75" customHeight="1">
      <c r="A114" s="14" t="str">
        <f t="shared" si="1"/>
        <v>Other Ayurvedic herbs</v>
      </c>
      <c r="B114" s="22">
        <v>0.4328586804225279</v>
      </c>
      <c r="C114" s="22">
        <v>0.09819184263289868</v>
      </c>
      <c r="D114" s="22">
        <v>0.0015278631890014434</v>
      </c>
      <c r="E114" s="22">
        <v>0.020595073951811784</v>
      </c>
      <c r="F114" s="22">
        <v>0.027318875249534632</v>
      </c>
      <c r="G114" s="22">
        <v>0.035127093877503755</v>
      </c>
      <c r="H114" s="22">
        <v>0.04596023920246085</v>
      </c>
      <c r="I114" s="22">
        <v>0.05670564788196488</v>
      </c>
      <c r="J114" s="22">
        <v>0.07064067206903221</v>
      </c>
    </row>
    <row r="115" ht="15.75" customHeight="1">
      <c r="A115" s="14" t="str">
        <f t="shared" si="1"/>
        <v>Hawthorne</v>
      </c>
      <c r="B115" s="22">
        <v>-0.005386525979255331</v>
      </c>
      <c r="C115" s="22">
        <v>0.01270423163170975</v>
      </c>
      <c r="D115" s="22">
        <v>0.03960725362596209</v>
      </c>
      <c r="E115" s="22">
        <v>0.03593348813666571</v>
      </c>
      <c r="F115" s="22">
        <v>0.033279343187820144</v>
      </c>
      <c r="G115" s="22">
        <v>0.030702248200680245</v>
      </c>
      <c r="H115" s="22">
        <v>0.028354538875207676</v>
      </c>
      <c r="I115" s="22">
        <v>0.026223377221093122</v>
      </c>
      <c r="J115" s="22">
        <v>0.024295176391921122</v>
      </c>
    </row>
    <row r="116" ht="15.75" customHeight="1">
      <c r="A116" s="14" t="str">
        <f t="shared" si="1"/>
        <v>Chamomile</v>
      </c>
      <c r="B116" s="22">
        <v>0.023751709331667495</v>
      </c>
      <c r="C116" s="22">
        <v>0.0035015987237574362</v>
      </c>
      <c r="D116" s="22">
        <v>0.06746697047639459</v>
      </c>
      <c r="E116" s="22">
        <v>0.053414170632326854</v>
      </c>
      <c r="F116" s="22">
        <v>0.03715598749094558</v>
      </c>
      <c r="G116" s="22">
        <v>0.03929078197335203</v>
      </c>
      <c r="H116" s="22">
        <v>0.039011316400727955</v>
      </c>
      <c r="I116" s="22">
        <v>0.03771936195283324</v>
      </c>
      <c r="J116" s="22">
        <v>0.036531516412351125</v>
      </c>
    </row>
    <row r="117" ht="15.75" customHeight="1">
      <c r="A117" s="14" t="str">
        <f t="shared" si="1"/>
        <v>Grapefruit seed extract</v>
      </c>
      <c r="B117" s="22">
        <v>-0.09526277436509999</v>
      </c>
      <c r="C117" s="22">
        <v>-0.0035633349101909153</v>
      </c>
      <c r="D117" s="22">
        <v>-0.0032570707274836618</v>
      </c>
      <c r="E117" s="22">
        <v>-0.0030853812737003106</v>
      </c>
      <c r="F117" s="22">
        <v>-0.002934341413920022</v>
      </c>
      <c r="G117" s="22">
        <v>-0.0027715879219513224</v>
      </c>
      <c r="H117" s="22">
        <v>-0.0026273367966687202</v>
      </c>
      <c r="I117" s="22">
        <v>-0.002499542990825252</v>
      </c>
      <c r="J117" s="22">
        <v>-0.0023864072704081578</v>
      </c>
    </row>
    <row r="118" ht="15.75" customHeight="1">
      <c r="A118" s="14" t="str">
        <f t="shared" si="1"/>
        <v>Cayenne</v>
      </c>
      <c r="B118" s="22">
        <v>0.005060185602389846</v>
      </c>
      <c r="C118" s="22">
        <v>0.014251075186133015</v>
      </c>
      <c r="D118" s="22">
        <v>-0.004504935410929674</v>
      </c>
      <c r="E118" s="22">
        <v>1.2220859075150826E-4</v>
      </c>
      <c r="F118" s="22">
        <v>0.0028414564295562855</v>
      </c>
      <c r="G118" s="22">
        <v>0.004766287549262357</v>
      </c>
      <c r="H118" s="22">
        <v>0.006095982287834959</v>
      </c>
      <c r="I118" s="22">
        <v>0.007303256486172949</v>
      </c>
      <c r="J118" s="22">
        <v>0.008404127669721123</v>
      </c>
    </row>
    <row r="119" ht="15.75" customHeight="1">
      <c r="A119" s="14" t="str">
        <f t="shared" si="1"/>
        <v>Goldenseal</v>
      </c>
      <c r="B119" s="22">
        <v>0.07658509053315557</v>
      </c>
      <c r="C119" s="22">
        <v>0.02311565889518311</v>
      </c>
      <c r="D119" s="22">
        <v>0.007332273413098266</v>
      </c>
      <c r="E119" s="22">
        <v>0.009634589425702259</v>
      </c>
      <c r="F119" s="22">
        <v>0.010396784481112196</v>
      </c>
      <c r="G119" s="22">
        <v>0.015218431975917702</v>
      </c>
      <c r="H119" s="22">
        <v>0.013485557682942977</v>
      </c>
      <c r="I119" s="22">
        <v>0.012217676879170023</v>
      </c>
      <c r="J119" s="22">
        <v>0.011065885746570431</v>
      </c>
    </row>
    <row r="120" ht="15.75" customHeight="1">
      <c r="A120" s="14" t="str">
        <f t="shared" si="1"/>
        <v>Licorice root</v>
      </c>
      <c r="B120" s="22">
        <v>0.025528904755117696</v>
      </c>
      <c r="C120" s="22">
        <v>0.03148314769035227</v>
      </c>
      <c r="D120" s="22">
        <v>-0.04735679834472132</v>
      </c>
      <c r="E120" s="22">
        <v>-0.010414944192192244</v>
      </c>
      <c r="F120" s="22">
        <v>0.010393513807643424</v>
      </c>
      <c r="G120" s="22">
        <v>0.023472186089585657</v>
      </c>
      <c r="H120" s="22">
        <v>0.027280944563116527</v>
      </c>
      <c r="I120" s="22">
        <v>0.03180887203682797</v>
      </c>
      <c r="J120" s="22">
        <v>0.03723391167716073</v>
      </c>
    </row>
    <row r="121" ht="15.75" customHeight="1">
      <c r="A121" s="4" t="str">
        <f t="shared" si="1"/>
        <v>Slippery elm</v>
      </c>
      <c r="B121" s="10">
        <v>-0.08763398297625741</v>
      </c>
      <c r="C121" s="10">
        <v>0.046000000000000124</v>
      </c>
      <c r="D121" s="10">
        <v>0.08563516826389872</v>
      </c>
      <c r="E121" s="10">
        <v>0.04995066215970562</v>
      </c>
      <c r="F121" s="10">
        <v>0.04773157136724616</v>
      </c>
      <c r="G121" s="10">
        <v>0.04560849317310675</v>
      </c>
      <c r="H121" s="10">
        <v>0.04282946384440993</v>
      </c>
      <c r="I121" s="10">
        <v>0.04001532113446202</v>
      </c>
      <c r="J121" s="10">
        <v>0.0375033625478495</v>
      </c>
    </row>
    <row r="122" ht="15.75" customHeight="1"/>
    <row r="123" ht="15.75" customHeight="1"/>
    <row r="124" ht="15.75" customHeight="1"/>
    <row r="125" ht="15.75" customHeight="1">
      <c r="A125" s="17" t="s">
        <v>69</v>
      </c>
      <c r="B125" s="2"/>
      <c r="C125" s="2"/>
      <c r="D125" s="2"/>
      <c r="E125" s="2"/>
      <c r="F125" s="2"/>
      <c r="G125" s="2"/>
      <c r="H125" s="2"/>
      <c r="I125" s="2"/>
      <c r="J125" s="3"/>
    </row>
    <row r="126" ht="15.75" customHeight="1">
      <c r="B126" s="5">
        <v>2020.0</v>
      </c>
      <c r="C126" s="5">
        <v>2021.0</v>
      </c>
      <c r="D126" s="5">
        <v>2022.0</v>
      </c>
      <c r="E126" s="5">
        <v>2023.0</v>
      </c>
      <c r="F126" s="5">
        <v>2024.0</v>
      </c>
      <c r="G126" s="5" t="s">
        <v>2</v>
      </c>
      <c r="H126" s="5" t="s">
        <v>3</v>
      </c>
      <c r="I126" s="5" t="s">
        <v>4</v>
      </c>
      <c r="J126" s="5" t="s">
        <v>5</v>
      </c>
    </row>
    <row r="127" ht="15.75" customHeight="1">
      <c r="A127" s="18" t="s">
        <v>70</v>
      </c>
      <c r="B127" s="11">
        <v>6009.266217766168</v>
      </c>
      <c r="C127" s="11">
        <v>6359.875350974087</v>
      </c>
      <c r="D127" s="11">
        <v>6214.304004560949</v>
      </c>
      <c r="E127" s="11">
        <v>6416.619226145119</v>
      </c>
      <c r="F127" s="11">
        <v>6656.977292032205</v>
      </c>
      <c r="G127" s="11">
        <v>6932.762306747983</v>
      </c>
      <c r="H127" s="11">
        <v>7214.964945022551</v>
      </c>
      <c r="I127" s="11">
        <v>7503.245909240015</v>
      </c>
      <c r="J127" s="11">
        <v>7795.111421610807</v>
      </c>
    </row>
    <row r="128" ht="15.75" customHeight="1">
      <c r="A128" s="4" t="s">
        <v>71</v>
      </c>
      <c r="B128" s="23">
        <v>5159.184282672341</v>
      </c>
      <c r="C128" s="23">
        <v>5880.662114168843</v>
      </c>
      <c r="D128" s="23">
        <v>5803.488032621077</v>
      </c>
      <c r="E128" s="23">
        <v>6134.196233023511</v>
      </c>
      <c r="F128" s="23">
        <v>6574.28705679247</v>
      </c>
      <c r="G128" s="23">
        <v>7101.098059309319</v>
      </c>
      <c r="H128" s="23">
        <v>7726.031060083789</v>
      </c>
      <c r="I128" s="23">
        <v>8434.70852822039</v>
      </c>
      <c r="J128" s="23">
        <v>9240.978357491242</v>
      </c>
    </row>
    <row r="129" ht="15.75" customHeight="1">
      <c r="A129" s="24" t="s">
        <v>72</v>
      </c>
      <c r="B129" s="21">
        <v>11168.45050043851</v>
      </c>
      <c r="C129" s="21">
        <v>12240.53746514293</v>
      </c>
      <c r="D129" s="21">
        <v>12017.792037182026</v>
      </c>
      <c r="E129" s="21">
        <v>12550.815459168629</v>
      </c>
      <c r="F129" s="21">
        <v>13231.264348824676</v>
      </c>
      <c r="G129" s="21">
        <v>14033.860366057303</v>
      </c>
      <c r="H129" s="21">
        <v>14940.996005106339</v>
      </c>
      <c r="I129" s="21">
        <v>15937.954437460405</v>
      </c>
      <c r="J129" s="21">
        <v>17036.089779102047</v>
      </c>
    </row>
    <row r="130" ht="15.75" customHeight="1">
      <c r="B130" s="11"/>
      <c r="C130" s="11"/>
      <c r="D130" s="11"/>
      <c r="E130" s="11"/>
      <c r="F130" s="11"/>
      <c r="G130" s="11"/>
      <c r="H130" s="11"/>
      <c r="I130" s="11"/>
      <c r="J130" s="11"/>
    </row>
    <row r="131" ht="15.75" customHeight="1">
      <c r="A131" s="17" t="s">
        <v>73</v>
      </c>
      <c r="B131" s="2"/>
      <c r="C131" s="2"/>
      <c r="D131" s="2"/>
      <c r="E131" s="2"/>
      <c r="F131" s="2"/>
      <c r="G131" s="2"/>
      <c r="H131" s="2"/>
      <c r="I131" s="2"/>
      <c r="J131" s="3"/>
    </row>
    <row r="132" ht="15.75" customHeight="1">
      <c r="B132" s="5">
        <v>2020.0</v>
      </c>
      <c r="C132" s="5">
        <v>2021.0</v>
      </c>
      <c r="D132" s="5">
        <v>2022.0</v>
      </c>
      <c r="E132" s="5">
        <v>2023.0</v>
      </c>
      <c r="F132" s="5">
        <v>2024.0</v>
      </c>
      <c r="G132" s="5" t="s">
        <v>2</v>
      </c>
      <c r="H132" s="5" t="s">
        <v>3</v>
      </c>
      <c r="I132" s="5" t="s">
        <v>4</v>
      </c>
      <c r="J132" s="5" t="s">
        <v>5</v>
      </c>
    </row>
    <row r="133" ht="15.75" customHeight="1">
      <c r="A133" s="18" t="s">
        <v>70</v>
      </c>
      <c r="B133" s="22">
        <v>0.11485784865653456</v>
      </c>
      <c r="C133" s="22">
        <v>0.058344749675319246</v>
      </c>
      <c r="D133" s="22">
        <v>-0.022889025079845738</v>
      </c>
      <c r="E133" s="22">
        <v>0.032556376616863635</v>
      </c>
      <c r="F133" s="22">
        <v>0.03745867682279236</v>
      </c>
      <c r="G133" s="22">
        <v>0.04142796386670379</v>
      </c>
      <c r="H133" s="22">
        <v>0.040705656098996346</v>
      </c>
      <c r="I133" s="22">
        <v>0.03995597572741406</v>
      </c>
      <c r="J133" s="22">
        <v>0.03889856682044352</v>
      </c>
    </row>
    <row r="134" ht="15.75" customHeight="1">
      <c r="A134" s="4" t="s">
        <v>71</v>
      </c>
      <c r="B134" s="10">
        <v>0.24634771230773367</v>
      </c>
      <c r="C134" s="10">
        <v>0.13984339228192721</v>
      </c>
      <c r="D134" s="10">
        <v>-0.013123366051217791</v>
      </c>
      <c r="E134" s="10">
        <v>0.056984385690733254</v>
      </c>
      <c r="F134" s="10">
        <v>0.07174384500445641</v>
      </c>
      <c r="G134" s="10">
        <v>0.08013203530146353</v>
      </c>
      <c r="H134" s="10">
        <v>0.08800512196211717</v>
      </c>
      <c r="I134" s="10">
        <v>0.09172594086476722</v>
      </c>
      <c r="J134" s="10">
        <v>0.09558953063680602</v>
      </c>
    </row>
    <row r="135" ht="15.75" customHeight="1">
      <c r="A135" s="24" t="s">
        <v>74</v>
      </c>
      <c r="B135" s="25">
        <v>0.17197402940171277</v>
      </c>
      <c r="C135" s="25">
        <v>0.09599245344395146</v>
      </c>
      <c r="D135" s="25">
        <v>-0.01819735682319597</v>
      </c>
      <c r="E135" s="25">
        <v>0.04435285785753941</v>
      </c>
      <c r="F135" s="25">
        <v>0.054215512280436334</v>
      </c>
      <c r="G135" s="25">
        <v>0.060659056918012585</v>
      </c>
      <c r="H135" s="25">
        <v>0.06463906689873164</v>
      </c>
      <c r="I135" s="25">
        <v>0.06672637031783814</v>
      </c>
      <c r="J135" s="25">
        <v>0.06890064505772436</v>
      </c>
    </row>
    <row r="136" ht="15.75" customHeight="1"/>
    <row r="137" ht="15.75" customHeight="1">
      <c r="A137" s="22"/>
    </row>
    <row r="138" ht="15.75" customHeight="1">
      <c r="A138" s="26" t="s">
        <v>75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9:B9"/>
    <mergeCell ref="A18:J18"/>
    <mergeCell ref="A71:J71"/>
    <mergeCell ref="A125:J125"/>
    <mergeCell ref="A131:J131"/>
    <mergeCell ref="A1:E1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6" width="8.86"/>
  </cols>
  <sheetData>
    <row r="1" ht="33.75" customHeight="1">
      <c r="A1" s="1" t="s">
        <v>76</v>
      </c>
      <c r="B1" s="3"/>
    </row>
    <row r="2">
      <c r="A2" s="14" t="s">
        <v>77</v>
      </c>
      <c r="B2" s="22">
        <v>0.2555359260318385</v>
      </c>
      <c r="E2" s="22"/>
      <c r="F2" s="27"/>
      <c r="G2" s="27"/>
      <c r="H2" s="27"/>
      <c r="I2" s="27"/>
      <c r="J2" s="27"/>
    </row>
    <row r="3">
      <c r="A3" s="14" t="s">
        <v>78</v>
      </c>
      <c r="B3" s="22">
        <v>0.13426054360409825</v>
      </c>
      <c r="D3" s="28"/>
      <c r="E3" s="28"/>
      <c r="F3" s="28"/>
      <c r="G3" s="28"/>
      <c r="H3" s="28"/>
      <c r="I3" s="28"/>
      <c r="J3" s="28"/>
    </row>
    <row r="4">
      <c r="A4" s="29" t="s">
        <v>79</v>
      </c>
      <c r="B4" s="22">
        <v>0.12622583972937204</v>
      </c>
      <c r="D4" s="22"/>
      <c r="E4" s="22"/>
      <c r="F4" s="22"/>
      <c r="G4" s="22"/>
      <c r="H4" s="22"/>
      <c r="I4" s="22"/>
      <c r="J4" s="22"/>
    </row>
    <row r="5">
      <c r="A5" s="14" t="s">
        <v>80</v>
      </c>
      <c r="B5" s="22">
        <v>0.029558269301103297</v>
      </c>
      <c r="E5" s="22"/>
    </row>
    <row r="6">
      <c r="A6" s="14" t="s">
        <v>81</v>
      </c>
      <c r="B6" s="22">
        <v>0.026188480962442147</v>
      </c>
      <c r="E6" s="22"/>
    </row>
    <row r="7">
      <c r="A7" s="14" t="s">
        <v>82</v>
      </c>
      <c r="B7" s="22">
        <v>0.023438212966813986</v>
      </c>
      <c r="E7" s="22"/>
    </row>
    <row r="8">
      <c r="A8" s="14" t="s">
        <v>83</v>
      </c>
      <c r="B8" s="22">
        <v>0.02233951286139581</v>
      </c>
      <c r="E8" s="22"/>
    </row>
    <row r="9">
      <c r="A9" s="14" t="s">
        <v>84</v>
      </c>
      <c r="B9" s="22">
        <v>0.021586660994139868</v>
      </c>
      <c r="E9" s="22"/>
    </row>
    <row r="10">
      <c r="A10" s="14" t="s">
        <v>85</v>
      </c>
      <c r="B10" s="22">
        <v>0.021969591755116587</v>
      </c>
      <c r="E10" s="22"/>
    </row>
    <row r="11">
      <c r="A11" s="4" t="s">
        <v>86</v>
      </c>
      <c r="B11" s="10">
        <v>0.33889696179367956</v>
      </c>
      <c r="E11" s="22"/>
    </row>
    <row r="12">
      <c r="A12" s="24" t="s">
        <v>74</v>
      </c>
      <c r="B12" s="25">
        <v>1.0</v>
      </c>
      <c r="E12" s="22"/>
    </row>
    <row r="13">
      <c r="A13" s="14" t="s">
        <v>87</v>
      </c>
      <c r="B13" s="30"/>
      <c r="C13" s="27"/>
      <c r="E13" s="22"/>
      <c r="G13" s="22"/>
    </row>
    <row r="14">
      <c r="B14" s="30"/>
      <c r="C14" s="27"/>
      <c r="E14" s="22"/>
    </row>
    <row r="15">
      <c r="B15" s="30"/>
      <c r="C15" s="27"/>
      <c r="E15" s="22"/>
    </row>
    <row r="16">
      <c r="A16" s="31" t="s">
        <v>88</v>
      </c>
      <c r="B16" s="2"/>
      <c r="C16" s="2"/>
      <c r="D16" s="2"/>
      <c r="E16" s="2"/>
      <c r="F16" s="2"/>
      <c r="G16" s="2"/>
      <c r="H16" s="2"/>
      <c r="I16" s="2"/>
      <c r="J16" s="3"/>
    </row>
    <row r="17">
      <c r="A17" s="4"/>
      <c r="B17" s="5">
        <v>2020.0</v>
      </c>
      <c r="C17" s="5">
        <v>2021.0</v>
      </c>
      <c r="D17" s="5">
        <v>2022.0</v>
      </c>
      <c r="E17" s="5">
        <v>2023.0</v>
      </c>
      <c r="F17" s="5">
        <v>2024.0</v>
      </c>
      <c r="G17" s="5" t="s">
        <v>2</v>
      </c>
      <c r="H17" s="5" t="s">
        <v>3</v>
      </c>
      <c r="I17" s="5" t="s">
        <v>4</v>
      </c>
      <c r="J17" s="5" t="s">
        <v>5</v>
      </c>
    </row>
    <row r="18">
      <c r="A18" s="6" t="s">
        <v>21</v>
      </c>
      <c r="B18" s="32">
        <v>163.35378356408285</v>
      </c>
      <c r="C18" s="32">
        <v>206.4679372065783</v>
      </c>
      <c r="D18" s="32">
        <v>246.41711530644375</v>
      </c>
      <c r="E18" s="32">
        <v>270.39086601528624</v>
      </c>
      <c r="F18" s="32">
        <v>310.61378070534306</v>
      </c>
      <c r="G18" s="32">
        <v>356.94463455423164</v>
      </c>
      <c r="H18" s="32">
        <v>409.62172164260346</v>
      </c>
      <c r="I18" s="32">
        <v>468.0561035672238</v>
      </c>
      <c r="J18" s="33">
        <v>531.4878975597486</v>
      </c>
    </row>
    <row r="19">
      <c r="A19" s="6" t="s">
        <v>47</v>
      </c>
      <c r="B19" s="32">
        <v>43.84476570910927</v>
      </c>
      <c r="C19" s="32">
        <v>52.30357759454778</v>
      </c>
      <c r="D19" s="32">
        <v>32.94800706933103</v>
      </c>
      <c r="E19" s="32">
        <v>33.435950182716574</v>
      </c>
      <c r="F19" s="32">
        <v>34.40263242345002</v>
      </c>
      <c r="G19" s="32">
        <v>35.71368742860195</v>
      </c>
      <c r="H19" s="32">
        <v>37.281653916516134</v>
      </c>
      <c r="I19" s="32">
        <v>39.13563907998779</v>
      </c>
      <c r="J19" s="34">
        <v>41.13047591687404</v>
      </c>
    </row>
    <row r="20">
      <c r="A20" s="6" t="s">
        <v>89</v>
      </c>
      <c r="B20" s="32">
        <v>104.99650134234753</v>
      </c>
      <c r="C20" s="32">
        <v>130.89077748511056</v>
      </c>
      <c r="D20" s="32">
        <v>136.65675323636293</v>
      </c>
      <c r="E20" s="32">
        <v>154.24143557572125</v>
      </c>
      <c r="F20" s="32">
        <v>172.17059142843942</v>
      </c>
      <c r="G20" s="32">
        <v>191.3626921453614</v>
      </c>
      <c r="H20" s="32">
        <v>208.5774941055391</v>
      </c>
      <c r="I20" s="32">
        <v>229.223848431263</v>
      </c>
      <c r="J20" s="34">
        <v>252.29964402832294</v>
      </c>
    </row>
    <row r="21" ht="15.75" customHeight="1">
      <c r="A21" s="6" t="s">
        <v>22</v>
      </c>
      <c r="B21" s="32">
        <v>24.22012448501097</v>
      </c>
      <c r="C21" s="32">
        <v>34.17863783420076</v>
      </c>
      <c r="D21" s="32">
        <v>27.57577975298555</v>
      </c>
      <c r="E21" s="32">
        <v>23.995825186738973</v>
      </c>
      <c r="F21" s="32">
        <v>22.271248160633633</v>
      </c>
      <c r="G21" s="32">
        <v>21.252537906162477</v>
      </c>
      <c r="H21" s="32">
        <v>20.567771730539388</v>
      </c>
      <c r="I21" s="32">
        <v>20.07927222060821</v>
      </c>
      <c r="J21" s="34">
        <v>19.69775438705592</v>
      </c>
    </row>
    <row r="22" ht="15.75" customHeight="1">
      <c r="A22" s="6" t="s">
        <v>90</v>
      </c>
      <c r="B22" s="32">
        <v>3.2429119912528774</v>
      </c>
      <c r="C22" s="32">
        <v>3.1911683148684844</v>
      </c>
      <c r="D22" s="32">
        <v>3.395067380907042</v>
      </c>
      <c r="E22" s="32">
        <v>3.6286674183991923</v>
      </c>
      <c r="F22" s="32">
        <v>3.9103794850676423</v>
      </c>
      <c r="G22" s="32">
        <v>4.250389328593495</v>
      </c>
      <c r="H22" s="32">
        <v>4.612301528082125</v>
      </c>
      <c r="I22" s="32">
        <v>4.940217158960459</v>
      </c>
      <c r="J22" s="34">
        <v>5.273884785777258</v>
      </c>
    </row>
    <row r="23" ht="15.75" customHeight="1">
      <c r="A23" s="6" t="s">
        <v>23</v>
      </c>
      <c r="B23" s="32">
        <v>164.56302</v>
      </c>
      <c r="C23" s="32">
        <v>153.86642369999998</v>
      </c>
      <c r="D23" s="32">
        <v>118.9387455201</v>
      </c>
      <c r="E23" s="32">
        <v>104.35847288627482</v>
      </c>
      <c r="F23" s="32">
        <v>100.544069992134</v>
      </c>
      <c r="G23" s="32">
        <v>93.68336830062668</v>
      </c>
      <c r="H23" s="32">
        <v>89.2193387869427</v>
      </c>
      <c r="I23" s="32">
        <v>86.80584811630477</v>
      </c>
      <c r="J23" s="34">
        <v>85.39692641322547</v>
      </c>
    </row>
    <row r="24" ht="15.75" customHeight="1">
      <c r="A24" s="6" t="s">
        <v>48</v>
      </c>
      <c r="B24" s="32">
        <v>29.266778537175163</v>
      </c>
      <c r="C24" s="32">
        <v>29.407174881298328</v>
      </c>
      <c r="D24" s="32">
        <v>32.46306007822835</v>
      </c>
      <c r="E24" s="32">
        <v>34.90834161921743</v>
      </c>
      <c r="F24" s="32">
        <v>38.350423180727724</v>
      </c>
      <c r="G24" s="32">
        <v>42.387034199809705</v>
      </c>
      <c r="H24" s="32">
        <v>46.50521977264438</v>
      </c>
      <c r="I24" s="32">
        <v>50.67597790680464</v>
      </c>
      <c r="J24" s="34">
        <v>54.99354453029094</v>
      </c>
    </row>
    <row r="25" ht="15.75" customHeight="1">
      <c r="A25" s="6" t="s">
        <v>20</v>
      </c>
      <c r="B25" s="32">
        <v>23.041208590980787</v>
      </c>
      <c r="C25" s="32">
        <v>33.30351951463294</v>
      </c>
      <c r="D25" s="32">
        <v>42.35030277583908</v>
      </c>
      <c r="E25" s="32">
        <v>49.64963711013432</v>
      </c>
      <c r="F25" s="32">
        <v>58.68084900919711</v>
      </c>
      <c r="G25" s="32">
        <v>69.49900192442848</v>
      </c>
      <c r="H25" s="32">
        <v>80.71182678409505</v>
      </c>
      <c r="I25" s="32">
        <v>92.64499088925866</v>
      </c>
      <c r="J25" s="34">
        <v>105.58910066896232</v>
      </c>
    </row>
    <row r="26" ht="15.75" customHeight="1">
      <c r="A26" s="6" t="s">
        <v>56</v>
      </c>
      <c r="B26" s="32">
        <v>46.40583013760404</v>
      </c>
      <c r="C26" s="32">
        <v>46.25301363290038</v>
      </c>
      <c r="D26" s="32">
        <v>43.90783061947907</v>
      </c>
      <c r="E26" s="32">
        <v>43.35947743449934</v>
      </c>
      <c r="F26" s="32">
        <v>42.785661090042666</v>
      </c>
      <c r="G26" s="32">
        <v>42.153625605612824</v>
      </c>
      <c r="H26" s="32">
        <v>41.968071767192214</v>
      </c>
      <c r="I26" s="32">
        <v>41.81161318737804</v>
      </c>
      <c r="J26" s="34">
        <v>41.8952364137528</v>
      </c>
    </row>
    <row r="27" ht="15.75" customHeight="1">
      <c r="A27" s="4" t="s">
        <v>41</v>
      </c>
      <c r="B27" s="35">
        <v>44.394131221662384</v>
      </c>
      <c r="C27" s="35">
        <v>43.425651799674895</v>
      </c>
      <c r="D27" s="35">
        <v>42.836122375858636</v>
      </c>
      <c r="E27" s="35">
        <v>42.703298936866474</v>
      </c>
      <c r="F27" s="35">
        <v>43.1431924462632</v>
      </c>
      <c r="G27" s="35">
        <v>44.02165340102684</v>
      </c>
      <c r="H27" s="35">
        <v>45.39682870540649</v>
      </c>
      <c r="I27" s="35">
        <v>47.307517902495846</v>
      </c>
      <c r="J27" s="36">
        <v>49.348403028714166</v>
      </c>
    </row>
    <row r="28" ht="15.75" customHeight="1"/>
    <row r="29" ht="15.75" customHeight="1">
      <c r="A29" s="31" t="s">
        <v>91</v>
      </c>
      <c r="B29" s="2"/>
      <c r="C29" s="2"/>
      <c r="D29" s="2"/>
      <c r="E29" s="2"/>
      <c r="F29" s="2"/>
      <c r="G29" s="2"/>
      <c r="H29" s="2"/>
      <c r="I29" s="2"/>
      <c r="J29" s="3"/>
    </row>
    <row r="30" ht="15.75" customHeight="1">
      <c r="A30" s="4"/>
      <c r="B30" s="5">
        <v>2020.0</v>
      </c>
      <c r="C30" s="5">
        <v>2021.0</v>
      </c>
      <c r="D30" s="5">
        <v>2022.0</v>
      </c>
      <c r="E30" s="5">
        <v>2023.0</v>
      </c>
      <c r="F30" s="5">
        <v>2024.0</v>
      </c>
      <c r="G30" s="5" t="s">
        <v>2</v>
      </c>
      <c r="H30" s="5" t="s">
        <v>3</v>
      </c>
      <c r="I30" s="5" t="s">
        <v>4</v>
      </c>
      <c r="J30" s="5" t="s">
        <v>5</v>
      </c>
    </row>
    <row r="31" ht="15.75" customHeight="1">
      <c r="A31" s="14" t="s">
        <v>21</v>
      </c>
      <c r="B31" s="22">
        <v>0.504207251743172</v>
      </c>
      <c r="C31" s="22">
        <v>0.26393116034304775</v>
      </c>
      <c r="D31" s="22">
        <v>0.1934885321196138</v>
      </c>
      <c r="E31" s="22">
        <v>0.09728930833001916</v>
      </c>
      <c r="F31" s="22">
        <v>0.1487584077184873</v>
      </c>
      <c r="G31" s="22">
        <v>0.14915904163582275</v>
      </c>
      <c r="H31" s="22">
        <v>0.14757775293122788</v>
      </c>
      <c r="I31" s="22">
        <v>0.14265450008435962</v>
      </c>
      <c r="J31" s="22">
        <v>0.13552177508014163</v>
      </c>
    </row>
    <row r="32" ht="15.75" customHeight="1">
      <c r="A32" s="14" t="s">
        <v>47</v>
      </c>
      <c r="B32" s="22">
        <v>0.4620123919828099</v>
      </c>
      <c r="C32" s="22">
        <v>0.19292637897894152</v>
      </c>
      <c r="D32" s="22">
        <v>-0.3700620763508616</v>
      </c>
      <c r="E32" s="22">
        <v>0.014809487941373529</v>
      </c>
      <c r="F32" s="22">
        <v>0.028911463124297182</v>
      </c>
      <c r="G32" s="22">
        <v>0.03810914784120613</v>
      </c>
      <c r="H32" s="22">
        <v>0.04390379713796928</v>
      </c>
      <c r="I32" s="22">
        <v>0.0497291554613762</v>
      </c>
      <c r="J32" s="22">
        <v>0.0509723843479106</v>
      </c>
    </row>
    <row r="33" ht="15.75" customHeight="1">
      <c r="A33" s="14" t="s">
        <v>89</v>
      </c>
      <c r="B33" s="22">
        <v>0.46648103023148485</v>
      </c>
      <c r="C33" s="22">
        <v>0.24662037126678304</v>
      </c>
      <c r="D33" s="22">
        <v>0.04405181069314281</v>
      </c>
      <c r="E33" s="22">
        <v>0.12867774129642665</v>
      </c>
      <c r="F33" s="22">
        <v>0.11624085179054408</v>
      </c>
      <c r="G33" s="22">
        <v>0.11147142237063715</v>
      </c>
      <c r="H33" s="22">
        <v>0.08995902893705707</v>
      </c>
      <c r="I33" s="22">
        <v>0.09898649139622398</v>
      </c>
      <c r="J33" s="22">
        <v>0.10066926174995978</v>
      </c>
    </row>
    <row r="34" ht="15.75" customHeight="1">
      <c r="A34" s="14" t="s">
        <v>22</v>
      </c>
      <c r="B34" s="22">
        <v>1.3100853835134134</v>
      </c>
      <c r="C34" s="22">
        <v>0.4111668936859833</v>
      </c>
      <c r="D34" s="22">
        <v>-0.19318669495388946</v>
      </c>
      <c r="E34" s="22">
        <v>-0.12982242381954714</v>
      </c>
      <c r="F34" s="22">
        <v>-0.07186987789269313</v>
      </c>
      <c r="G34" s="22">
        <v>-0.045741049047794934</v>
      </c>
      <c r="H34" s="22">
        <v>-0.03222044250181205</v>
      </c>
      <c r="I34" s="22">
        <v>-0.023750725957632283</v>
      </c>
      <c r="J34" s="22">
        <v>-0.019000580766105828</v>
      </c>
    </row>
    <row r="35" ht="15.75" customHeight="1">
      <c r="A35" s="14" t="s">
        <v>90</v>
      </c>
      <c r="B35" s="22">
        <v>-0.07664054959601313</v>
      </c>
      <c r="C35" s="22">
        <v>-0.01595592989386129</v>
      </c>
      <c r="D35" s="22">
        <v>0.06389480150217672</v>
      </c>
      <c r="E35" s="22">
        <v>0.06880571466883248</v>
      </c>
      <c r="F35" s="22">
        <v>0.0776351299763727</v>
      </c>
      <c r="G35" s="22">
        <v>0.08695060027402199</v>
      </c>
      <c r="H35" s="22">
        <v>0.08514801151366325</v>
      </c>
      <c r="I35" s="22">
        <v>0.07109587889729459</v>
      </c>
      <c r="J35" s="22">
        <v>0.06754108495242986</v>
      </c>
    </row>
    <row r="36" ht="12.0" customHeight="1">
      <c r="A36" s="14" t="s">
        <v>23</v>
      </c>
      <c r="B36" s="22">
        <v>-0.05932812017697301</v>
      </c>
      <c r="C36" s="22">
        <v>-0.06500000000000006</v>
      </c>
      <c r="D36" s="22">
        <v>-0.22699999999999992</v>
      </c>
      <c r="E36" s="22">
        <v>-0.1225863999999999</v>
      </c>
      <c r="F36" s="22">
        <v>-0.036550965040448524</v>
      </c>
      <c r="G36" s="22">
        <v>-0.06823576658518059</v>
      </c>
      <c r="H36" s="22">
        <v>-0.04765018161344356</v>
      </c>
      <c r="I36" s="22">
        <v>-0.027051205528449203</v>
      </c>
      <c r="J36" s="22">
        <v>-0.016230723317069522</v>
      </c>
    </row>
    <row r="37" ht="15.75" customHeight="1">
      <c r="A37" s="14" t="s">
        <v>48</v>
      </c>
      <c r="B37" s="22">
        <v>-0.0037771207177673626</v>
      </c>
      <c r="C37" s="22">
        <v>0.004797123261954873</v>
      </c>
      <c r="D37" s="22">
        <v>0.10391631325569574</v>
      </c>
      <c r="E37" s="22">
        <v>0.07532504745691024</v>
      </c>
      <c r="F37" s="22">
        <v>0.09860341115761821</v>
      </c>
      <c r="G37" s="22">
        <v>0.10525597071143933</v>
      </c>
      <c r="H37" s="22">
        <v>0.09715672848026637</v>
      </c>
      <c r="I37" s="22">
        <v>0.089683656040125</v>
      </c>
      <c r="J37" s="22">
        <v>0.08519947323811874</v>
      </c>
    </row>
    <row r="38" ht="15.75" customHeight="1">
      <c r="A38" s="14" t="s">
        <v>20</v>
      </c>
      <c r="B38" s="22">
        <v>0.8475890504633372</v>
      </c>
      <c r="C38" s="22">
        <v>0.4453894370657802</v>
      </c>
      <c r="D38" s="22">
        <v>0.27164646238759116</v>
      </c>
      <c r="E38" s="22">
        <v>0.17235613102769884</v>
      </c>
      <c r="F38" s="22">
        <v>0.18189885011706095</v>
      </c>
      <c r="G38" s="22">
        <v>0.18435576679430513</v>
      </c>
      <c r="H38" s="22">
        <v>0.1613379264332331</v>
      </c>
      <c r="I38" s="22">
        <v>0.14784901520176152</v>
      </c>
      <c r="J38" s="22">
        <v>0.13971731936566464</v>
      </c>
    </row>
    <row r="39" ht="15.75" customHeight="1">
      <c r="A39" s="14" t="s">
        <v>56</v>
      </c>
      <c r="B39" s="22">
        <v>-5.900473064962005E-4</v>
      </c>
      <c r="C39" s="22">
        <v>-0.00329304538353325</v>
      </c>
      <c r="D39" s="22">
        <v>-0.05070335593772307</v>
      </c>
      <c r="E39" s="22">
        <v>-0.01248873326792107</v>
      </c>
      <c r="F39" s="22">
        <v>-0.013233931274275733</v>
      </c>
      <c r="G39" s="22">
        <v>-0.014772133194336297</v>
      </c>
      <c r="H39" s="22">
        <v>-0.004401847664460518</v>
      </c>
      <c r="I39" s="22">
        <v>-0.0037280383211810877</v>
      </c>
      <c r="J39" s="22">
        <v>0.002</v>
      </c>
    </row>
    <row r="40" ht="15.75" customHeight="1">
      <c r="A40" s="4" t="s">
        <v>41</v>
      </c>
      <c r="B40" s="10">
        <v>-0.011733467533375902</v>
      </c>
      <c r="C40" s="10">
        <v>-0.021815483158163784</v>
      </c>
      <c r="D40" s="10">
        <v>-0.013575603344672714</v>
      </c>
      <c r="E40" s="10">
        <v>-0.0031007344181792195</v>
      </c>
      <c r="F40" s="10">
        <v>0.010301159871678154</v>
      </c>
      <c r="G40" s="10">
        <v>0.020361519511051532</v>
      </c>
      <c r="H40" s="10">
        <v>0.031238610959296125</v>
      </c>
      <c r="I40" s="10">
        <v>0.04208860512015904</v>
      </c>
      <c r="J40" s="10">
        <v>0.04314082024816301</v>
      </c>
    </row>
    <row r="41" ht="15.75" customHeight="1"/>
    <row r="42" ht="15.75" customHeight="1">
      <c r="A42" s="17" t="s">
        <v>92</v>
      </c>
      <c r="B42" s="2"/>
      <c r="C42" s="2"/>
      <c r="D42" s="2"/>
      <c r="E42" s="2"/>
      <c r="F42" s="2"/>
      <c r="G42" s="2"/>
      <c r="H42" s="2"/>
      <c r="I42" s="2"/>
      <c r="J42" s="3"/>
    </row>
    <row r="43" ht="15.75" customHeight="1">
      <c r="A43" s="4"/>
      <c r="B43" s="5">
        <v>2020.0</v>
      </c>
      <c r="C43" s="5">
        <v>2021.0</v>
      </c>
      <c r="D43" s="5">
        <v>2022.0</v>
      </c>
      <c r="E43" s="5">
        <v>2023.0</v>
      </c>
      <c r="F43" s="5">
        <v>2024.0</v>
      </c>
      <c r="G43" s="5" t="s">
        <v>2</v>
      </c>
      <c r="H43" s="5" t="s">
        <v>3</v>
      </c>
      <c r="I43" s="5" t="s">
        <v>4</v>
      </c>
      <c r="J43" s="5" t="s">
        <v>5</v>
      </c>
    </row>
    <row r="44" ht="15.75" customHeight="1">
      <c r="A44" s="14" t="s">
        <v>21</v>
      </c>
      <c r="B44" s="34">
        <v>6.386982672853669</v>
      </c>
      <c r="C44" s="34">
        <v>8.095706688796227</v>
      </c>
      <c r="D44" s="34">
        <v>11.459365846675045</v>
      </c>
      <c r="E44" s="34">
        <v>15.080007775687351</v>
      </c>
      <c r="F44" s="34">
        <v>18.096564880420573</v>
      </c>
      <c r="G44" s="34">
        <v>20.79841803889459</v>
      </c>
      <c r="H44" s="34">
        <v>24.386238005709473</v>
      </c>
      <c r="I44" s="34">
        <v>27.815508443743234</v>
      </c>
      <c r="J44" s="33">
        <f t="shared" ref="J44:J50" si="1">I44*(1+J54)</f>
        <v>31.82480144</v>
      </c>
    </row>
    <row r="45" ht="15.75" customHeight="1">
      <c r="A45" s="14" t="s">
        <v>89</v>
      </c>
      <c r="B45" s="34">
        <v>143.7915904128817</v>
      </c>
      <c r="C45" s="34">
        <v>181.74045463790355</v>
      </c>
      <c r="D45" s="34">
        <v>177.44842843238965</v>
      </c>
      <c r="E45" s="34">
        <v>185.52357304249034</v>
      </c>
      <c r="F45" s="34">
        <v>194.32454728742962</v>
      </c>
      <c r="G45" s="34">
        <v>210.1165295500502</v>
      </c>
      <c r="H45" s="34">
        <v>228.88986311168657</v>
      </c>
      <c r="I45" s="34">
        <v>250.21407100539693</v>
      </c>
      <c r="J45" s="34">
        <f t="shared" si="1"/>
        <v>273.9911362</v>
      </c>
    </row>
    <row r="46" ht="15.75" customHeight="1">
      <c r="A46" s="14" t="str">
        <f>A36</f>
        <v>Hemp/CBD</v>
      </c>
      <c r="B46" s="34">
        <v>109.70868000000002</v>
      </c>
      <c r="C46" s="34">
        <v>102.57761579999999</v>
      </c>
      <c r="D46" s="34">
        <v>79.29249701340001</v>
      </c>
      <c r="E46" s="34">
        <v>69.57231525751655</v>
      </c>
      <c r="F46" s="34">
        <v>68.2392351097946</v>
      </c>
      <c r="G46" s="34">
        <v>63.48275873984464</v>
      </c>
      <c r="H46" s="34">
        <v>60.37097525972848</v>
      </c>
      <c r="I46" s="34">
        <v>58.67284337672517</v>
      </c>
      <c r="J46" s="34">
        <f t="shared" si="1"/>
        <v>57.68262357</v>
      </c>
    </row>
    <row r="47" ht="15.75" customHeight="1">
      <c r="A47" s="14" t="s">
        <v>93</v>
      </c>
      <c r="B47" s="34">
        <v>4.442278885106944</v>
      </c>
      <c r="C47" s="34">
        <v>4.463589044482781</v>
      </c>
      <c r="D47" s="34">
        <v>4.927428761873945</v>
      </c>
      <c r="E47" s="34">
        <v>5.298587567202646</v>
      </c>
      <c r="F47" s="34">
        <v>5.821046375646171</v>
      </c>
      <c r="G47" s="34">
        <v>6.433746262471116</v>
      </c>
      <c r="H47" s="34">
        <v>7.05882800120495</v>
      </c>
      <c r="I47" s="34">
        <v>7.691889503711417</v>
      </c>
      <c r="J47" s="34">
        <f t="shared" si="1"/>
        <v>8.27825076</v>
      </c>
    </row>
    <row r="48" ht="15.75" customHeight="1">
      <c r="A48" s="14" t="s">
        <v>20</v>
      </c>
      <c r="B48" s="34">
        <v>4.380138695202679</v>
      </c>
      <c r="C48" s="34">
        <v>5.6581610367339525</v>
      </c>
      <c r="D48" s="34">
        <v>6.738176976803535</v>
      </c>
      <c r="E48" s="34">
        <v>7.360740976309973</v>
      </c>
      <c r="F48" s="34">
        <v>8.110588009825857</v>
      </c>
      <c r="G48" s="34">
        <v>8.89609281130336</v>
      </c>
      <c r="H48" s="34">
        <v>10.034622128837555</v>
      </c>
      <c r="I48" s="34">
        <v>11.477214636612842</v>
      </c>
      <c r="J48" s="34">
        <f t="shared" si="1"/>
        <v>13.3746937</v>
      </c>
    </row>
    <row r="49" ht="15.75" customHeight="1">
      <c r="A49" s="14" t="s">
        <v>56</v>
      </c>
      <c r="B49" s="37">
        <v>2.4197273806481894</v>
      </c>
      <c r="C49" s="37">
        <v>2.412346194886961</v>
      </c>
      <c r="D49" s="37">
        <v>2.2932650594209987</v>
      </c>
      <c r="E49" s="37">
        <v>2.261905275732849</v>
      </c>
      <c r="F49" s="37">
        <v>2.2288719136039994</v>
      </c>
      <c r="G49" s="37">
        <v>2.192167141395321</v>
      </c>
      <c r="H49" s="37">
        <v>2.1802282249536264</v>
      </c>
      <c r="I49" s="37">
        <v>2.1695574707702296</v>
      </c>
      <c r="J49" s="34">
        <f t="shared" si="1"/>
        <v>2.171727028</v>
      </c>
    </row>
    <row r="50" ht="15.75" customHeight="1">
      <c r="A50" s="4" t="s">
        <v>41</v>
      </c>
      <c r="B50" s="38">
        <v>44.394131221662384</v>
      </c>
      <c r="C50" s="38">
        <v>43.425651799674895</v>
      </c>
      <c r="D50" s="38">
        <v>42.836122375858636</v>
      </c>
      <c r="E50" s="38">
        <v>42.703298936866474</v>
      </c>
      <c r="F50" s="38">
        <v>43.1431924462632</v>
      </c>
      <c r="G50" s="38">
        <v>44.02165340102684</v>
      </c>
      <c r="H50" s="38">
        <v>45.39682870540649</v>
      </c>
      <c r="I50" s="38">
        <v>47.307517902495846</v>
      </c>
      <c r="J50" s="36">
        <f t="shared" si="1"/>
        <v>49.4479584</v>
      </c>
    </row>
    <row r="51" ht="15.75" customHeight="1"/>
    <row r="52" ht="15.75" customHeight="1">
      <c r="A52" s="17" t="s">
        <v>94</v>
      </c>
      <c r="B52" s="2"/>
      <c r="C52" s="2"/>
      <c r="D52" s="2"/>
      <c r="E52" s="2"/>
      <c r="F52" s="2"/>
      <c r="G52" s="2"/>
      <c r="H52" s="2"/>
      <c r="I52" s="2"/>
      <c r="J52" s="3"/>
    </row>
    <row r="53" ht="15.75" customHeight="1">
      <c r="A53" s="4"/>
      <c r="B53" s="5">
        <v>2020.0</v>
      </c>
      <c r="C53" s="5">
        <v>2021.0</v>
      </c>
      <c r="D53" s="5">
        <v>2022.0</v>
      </c>
      <c r="E53" s="5">
        <v>2023.0</v>
      </c>
      <c r="F53" s="5">
        <v>2024.0</v>
      </c>
      <c r="G53" s="5" t="s">
        <v>2</v>
      </c>
      <c r="H53" s="5" t="s">
        <v>3</v>
      </c>
      <c r="I53" s="5" t="s">
        <v>4</v>
      </c>
      <c r="J53" s="5" t="s">
        <v>5</v>
      </c>
    </row>
    <row r="54" ht="15.75" customHeight="1">
      <c r="A54" s="14" t="s">
        <v>21</v>
      </c>
      <c r="B54" s="22">
        <v>0.5042072517431718</v>
      </c>
      <c r="C54" s="39">
        <v>0.2675322767360991</v>
      </c>
      <c r="D54" s="39">
        <v>0.4154867866611123</v>
      </c>
      <c r="E54" s="39">
        <v>0.3159548248529688</v>
      </c>
      <c r="F54" s="39">
        <v>0.20003684013987363</v>
      </c>
      <c r="G54" s="39">
        <v>0.14930199053397494</v>
      </c>
      <c r="H54" s="39">
        <v>0.17250446452732096</v>
      </c>
      <c r="I54" s="39">
        <v>0.14062318415947866</v>
      </c>
      <c r="J54" s="22">
        <v>0.14413876376346563</v>
      </c>
    </row>
    <row r="55" ht="15.75" customHeight="1">
      <c r="A55" s="14" t="s">
        <v>89</v>
      </c>
      <c r="B55" s="22">
        <v>0.4103899339890109</v>
      </c>
      <c r="C55" s="22">
        <v>0.26391574163729514</v>
      </c>
      <c r="D55" s="22">
        <v>-0.0236162400609444</v>
      </c>
      <c r="E55" s="22">
        <v>0.04550699423735633</v>
      </c>
      <c r="F55" s="22">
        <v>0.04743857667577156</v>
      </c>
      <c r="G55" s="22">
        <v>0.08126601853991355</v>
      </c>
      <c r="H55" s="22">
        <v>0.08934724746233985</v>
      </c>
      <c r="I55" s="22">
        <v>0.09316361853606964</v>
      </c>
      <c r="J55" s="22">
        <v>0.09502689090679103</v>
      </c>
    </row>
    <row r="56" ht="15.75" customHeight="1">
      <c r="A56" s="14" t="s">
        <v>23</v>
      </c>
      <c r="B56" s="22">
        <v>-0.05932812017697269</v>
      </c>
      <c r="C56" s="22">
        <v>-0.06500000000000022</v>
      </c>
      <c r="D56" s="22">
        <v>-0.22699999999999984</v>
      </c>
      <c r="E56" s="22">
        <v>-0.1225864</v>
      </c>
      <c r="F56" s="22">
        <v>-0.019161072084314727</v>
      </c>
      <c r="G56" s="22">
        <v>-0.06970295552546796</v>
      </c>
      <c r="H56" s="22">
        <v>-0.04901777335903746</v>
      </c>
      <c r="I56" s="22">
        <v>-0.02812828309792242</v>
      </c>
      <c r="J56" s="22">
        <v>-0.016876969858753452</v>
      </c>
    </row>
    <row r="57" ht="15.75" customHeight="1">
      <c r="A57" s="14" t="s">
        <v>93</v>
      </c>
      <c r="B57" s="22">
        <v>-0.0037771207177672355</v>
      </c>
      <c r="C57" s="22">
        <v>0.004797123261954695</v>
      </c>
      <c r="D57" s="22">
        <v>0.10391631325569575</v>
      </c>
      <c r="E57" s="22">
        <v>0.07532504745691056</v>
      </c>
      <c r="F57" s="22">
        <v>0.0986034111576179</v>
      </c>
      <c r="G57" s="22">
        <v>0.10525597071143962</v>
      </c>
      <c r="H57" s="22">
        <v>0.09715672848026623</v>
      </c>
      <c r="I57" s="22">
        <v>0.08968365604012492</v>
      </c>
      <c r="J57" s="22">
        <v>0.07623110763410618</v>
      </c>
    </row>
    <row r="58" ht="15.75" customHeight="1">
      <c r="A58" s="14" t="s">
        <v>20</v>
      </c>
      <c r="B58" s="22">
        <v>0.7626335169140273</v>
      </c>
      <c r="C58" s="22">
        <v>0.29177668344863594</v>
      </c>
      <c r="D58" s="22">
        <v>0.19087755421909974</v>
      </c>
      <c r="E58" s="22">
        <v>0.09239353636000382</v>
      </c>
      <c r="F58" s="22">
        <v>0.10187113443187501</v>
      </c>
      <c r="G58" s="22">
        <v>0.09684930371581876</v>
      </c>
      <c r="H58" s="22">
        <v>0.12798082727819354</v>
      </c>
      <c r="I58" s="22">
        <v>0.14376151779841886</v>
      </c>
      <c r="J58" s="22">
        <v>0.16532574546818168</v>
      </c>
    </row>
    <row r="59" ht="15.75" customHeight="1">
      <c r="A59" s="14" t="s">
        <v>56</v>
      </c>
      <c r="B59" s="22">
        <v>4.6779555197785005E-4</v>
      </c>
      <c r="C59" s="22">
        <v>-0.0030504203987025223</v>
      </c>
      <c r="D59" s="22">
        <v>-0.0493632032244619</v>
      </c>
      <c r="E59" s="22">
        <v>-0.013674731387599526</v>
      </c>
      <c r="F59" s="22">
        <v>-0.014604219939381402</v>
      </c>
      <c r="G59" s="22">
        <v>-0.016467869680913152</v>
      </c>
      <c r="H59" s="22">
        <v>-0.005446170693944258</v>
      </c>
      <c r="I59" s="22">
        <v>-0.004894328979537805</v>
      </c>
      <c r="J59" s="22">
        <v>0.001</v>
      </c>
    </row>
    <row r="60" ht="15.75" customHeight="1">
      <c r="A60" s="4" t="s">
        <v>41</v>
      </c>
      <c r="B60" s="10">
        <v>-0.011733467533375902</v>
      </c>
      <c r="C60" s="10">
        <v>-0.021815483158163784</v>
      </c>
      <c r="D60" s="10">
        <v>-0.013575603344672714</v>
      </c>
      <c r="E60" s="10">
        <v>-0.0031007344181792195</v>
      </c>
      <c r="F60" s="10">
        <v>0.010301159871678154</v>
      </c>
      <c r="G60" s="10">
        <v>0.020361519511051532</v>
      </c>
      <c r="H60" s="10">
        <v>0.031238610959296125</v>
      </c>
      <c r="I60" s="10">
        <v>0.04208860512015904</v>
      </c>
      <c r="J60" s="10">
        <v>0.04524525050417096</v>
      </c>
    </row>
    <row r="61" ht="15.75" customHeight="1"/>
    <row r="62" ht="15.75" customHeight="1">
      <c r="A62" s="17" t="s">
        <v>95</v>
      </c>
      <c r="B62" s="2"/>
      <c r="C62" s="2"/>
      <c r="D62" s="2"/>
      <c r="E62" s="2"/>
      <c r="F62" s="2"/>
      <c r="G62" s="2"/>
      <c r="H62" s="2"/>
      <c r="I62" s="2"/>
      <c r="J62" s="3"/>
    </row>
    <row r="63" ht="15.75" customHeight="1">
      <c r="A63" s="4"/>
      <c r="B63" s="5">
        <v>2020.0</v>
      </c>
      <c r="C63" s="5">
        <v>2021.0</v>
      </c>
      <c r="D63" s="5">
        <v>2022.0</v>
      </c>
      <c r="E63" s="5">
        <v>2023.0</v>
      </c>
      <c r="F63" s="5">
        <v>2024.0</v>
      </c>
      <c r="G63" s="5" t="s">
        <v>2</v>
      </c>
      <c r="H63" s="5" t="s">
        <v>3</v>
      </c>
      <c r="I63" s="5" t="s">
        <v>4</v>
      </c>
      <c r="J63" s="5" t="s">
        <v>5</v>
      </c>
    </row>
    <row r="64" ht="15.75" customHeight="1">
      <c r="A64" s="14" t="s">
        <v>21</v>
      </c>
      <c r="B64" s="14" t="s">
        <v>96</v>
      </c>
      <c r="C64" s="14" t="s">
        <v>96</v>
      </c>
      <c r="D64" s="32">
        <v>1.4076851813325642</v>
      </c>
      <c r="E64" s="32">
        <v>2.390752936256403</v>
      </c>
      <c r="F64" s="32">
        <v>2.732779810955514</v>
      </c>
      <c r="G64" s="32">
        <v>3.1292359673158314</v>
      </c>
      <c r="H64" s="32">
        <v>3.584884762711103</v>
      </c>
      <c r="I64" s="32">
        <v>4.083307428354414</v>
      </c>
      <c r="J64" s="33">
        <v>4.670898262249553</v>
      </c>
    </row>
    <row r="65" ht="15.75" customHeight="1">
      <c r="A65" s="14" t="s">
        <v>97</v>
      </c>
      <c r="B65" s="14" t="s">
        <v>96</v>
      </c>
      <c r="C65" s="14" t="s">
        <v>96</v>
      </c>
      <c r="D65" s="32">
        <v>5.780436110885</v>
      </c>
      <c r="E65" s="32">
        <v>8.196088748634459</v>
      </c>
      <c r="F65" s="32">
        <v>10.447822552180142</v>
      </c>
      <c r="G65" s="32">
        <v>12.89418501514922</v>
      </c>
      <c r="H65" s="32">
        <v>15.417074412271559</v>
      </c>
      <c r="I65" s="32">
        <v>17.942530580950162</v>
      </c>
      <c r="J65" s="34">
        <v>20.969853763378087</v>
      </c>
    </row>
    <row r="66" ht="15.75" customHeight="1">
      <c r="A66" s="14" t="s">
        <v>89</v>
      </c>
      <c r="B66" s="32">
        <v>83.38408353585253</v>
      </c>
      <c r="C66" s="32">
        <v>97.31729914607678</v>
      </c>
      <c r="D66" s="32">
        <v>109.23066075636325</v>
      </c>
      <c r="E66" s="32">
        <v>125.8832425190139</v>
      </c>
      <c r="F66" s="32">
        <v>146.8663702597234</v>
      </c>
      <c r="G66" s="32">
        <v>167.49293325855768</v>
      </c>
      <c r="H66" s="32">
        <v>190.28217855343934</v>
      </c>
      <c r="I66" s="32">
        <v>215.38922793128216</v>
      </c>
      <c r="J66" s="34">
        <v>244.94585558357545</v>
      </c>
    </row>
    <row r="67" ht="15.75" customHeight="1">
      <c r="A67" s="14" t="s">
        <v>44</v>
      </c>
      <c r="B67" s="32">
        <v>3.830892907794205</v>
      </c>
      <c r="C67" s="32">
        <v>3.7572038910783614</v>
      </c>
      <c r="D67" s="32">
        <v>3.7177174136744195</v>
      </c>
      <c r="E67" s="32">
        <v>3.6905705794248953</v>
      </c>
      <c r="F67" s="32">
        <v>3.7011923345848556</v>
      </c>
      <c r="G67" s="32">
        <v>3.7410818224394924</v>
      </c>
      <c r="H67" s="32">
        <v>3.7961088583913076</v>
      </c>
      <c r="I67" s="32">
        <v>3.8574050729115683</v>
      </c>
      <c r="J67" s="34">
        <v>3.9234282028903498</v>
      </c>
    </row>
    <row r="68" ht="15.75" customHeight="1">
      <c r="A68" s="11" t="s">
        <v>36</v>
      </c>
      <c r="B68" s="32">
        <v>82.00956661482397</v>
      </c>
      <c r="C68" s="32">
        <v>82.01919422929299</v>
      </c>
      <c r="D68" s="32">
        <v>83.34143876043824</v>
      </c>
      <c r="E68" s="32">
        <v>85.56206661299164</v>
      </c>
      <c r="F68" s="32">
        <v>89.6115485040709</v>
      </c>
      <c r="G68" s="32">
        <v>93.88879109185606</v>
      </c>
      <c r="H68" s="32">
        <v>98.29012541926731</v>
      </c>
      <c r="I68" s="32">
        <v>103.05124141858799</v>
      </c>
      <c r="J68" s="34">
        <v>108.31752887467424</v>
      </c>
    </row>
    <row r="69" ht="15.75" customHeight="1">
      <c r="A69" s="4" t="s">
        <v>20</v>
      </c>
      <c r="B69" s="35">
        <v>24.467071604690716</v>
      </c>
      <c r="C69" s="35">
        <v>35.410160769529014</v>
      </c>
      <c r="D69" s="35">
        <v>45.60930825538411</v>
      </c>
      <c r="E69" s="35">
        <v>53.707900707984436</v>
      </c>
      <c r="F69" s="35">
        <v>63.58317182590149</v>
      </c>
      <c r="G69" s="35">
        <v>74.50605251461562</v>
      </c>
      <c r="H69" s="35">
        <v>87.21625752213889</v>
      </c>
      <c r="I69" s="35">
        <v>100.40058762383582</v>
      </c>
      <c r="J69" s="36">
        <v>116.48861294020585</v>
      </c>
    </row>
    <row r="70" ht="15.75" customHeight="1"/>
    <row r="71" ht="15.75" customHeight="1">
      <c r="A71" s="17" t="s">
        <v>98</v>
      </c>
      <c r="B71" s="2"/>
      <c r="C71" s="2"/>
      <c r="D71" s="2"/>
      <c r="E71" s="2"/>
      <c r="F71" s="2"/>
      <c r="G71" s="2"/>
      <c r="H71" s="2"/>
      <c r="I71" s="2"/>
      <c r="J71" s="3"/>
    </row>
    <row r="72" ht="15.75" customHeight="1">
      <c r="A72" s="4"/>
      <c r="B72" s="5">
        <v>2020.0</v>
      </c>
      <c r="C72" s="5">
        <v>2021.0</v>
      </c>
      <c r="D72" s="5">
        <v>2022.0</v>
      </c>
      <c r="E72" s="5">
        <v>2023.0</v>
      </c>
      <c r="F72" s="5">
        <v>2024.0</v>
      </c>
      <c r="G72" s="5" t="s">
        <v>2</v>
      </c>
      <c r="H72" s="5" t="s">
        <v>3</v>
      </c>
      <c r="I72" s="5" t="s">
        <v>4</v>
      </c>
      <c r="J72" s="5" t="s">
        <v>5</v>
      </c>
    </row>
    <row r="73" ht="15.75" customHeight="1">
      <c r="A73" s="14" t="s">
        <v>21</v>
      </c>
      <c r="B73" s="14" t="s">
        <v>96</v>
      </c>
      <c r="C73" s="14" t="s">
        <v>96</v>
      </c>
      <c r="D73" s="14" t="s">
        <v>96</v>
      </c>
      <c r="E73" s="22">
        <v>0.6983576782368572</v>
      </c>
      <c r="F73" s="22">
        <v>0.14306240913152618</v>
      </c>
      <c r="G73" s="22">
        <v>0.14507431399008203</v>
      </c>
      <c r="H73" s="22">
        <v>0.14561023845897883</v>
      </c>
      <c r="I73" s="22">
        <v>0.13903450142324073</v>
      </c>
      <c r="J73" s="22">
        <v>0.14390070897305413</v>
      </c>
    </row>
    <row r="74" ht="15.75" customHeight="1">
      <c r="A74" s="14" t="s">
        <v>97</v>
      </c>
      <c r="B74" s="14" t="s">
        <v>96</v>
      </c>
      <c r="C74" s="14" t="s">
        <v>96</v>
      </c>
      <c r="D74" s="14" t="s">
        <v>96</v>
      </c>
      <c r="E74" s="22">
        <v>0.4179014509304241</v>
      </c>
      <c r="F74" s="22">
        <v>0.27473272588963144</v>
      </c>
      <c r="G74" s="22">
        <v>0.23415046061043576</v>
      </c>
      <c r="H74" s="22">
        <v>0.19566102038695937</v>
      </c>
      <c r="I74" s="22">
        <v>0.1638090406224161</v>
      </c>
      <c r="J74" s="22">
        <v>0.1687233118410886</v>
      </c>
    </row>
    <row r="75" ht="15.75" customHeight="1">
      <c r="A75" s="14" t="s">
        <v>89</v>
      </c>
      <c r="B75" s="22">
        <v>0.08890594944471576</v>
      </c>
      <c r="C75" s="22">
        <v>0.16709682495021258</v>
      </c>
      <c r="D75" s="22">
        <v>0.12241771724885302</v>
      </c>
      <c r="E75" s="22">
        <v>0.15245336471774987</v>
      </c>
      <c r="F75" s="22">
        <v>0.1666872200049988</v>
      </c>
      <c r="G75" s="22">
        <v>0.14044442551659433</v>
      </c>
      <c r="H75" s="22">
        <v>0.13606093613335943</v>
      </c>
      <c r="I75" s="22">
        <v>0.13194640490618356</v>
      </c>
      <c r="J75" s="22">
        <v>0.1372242611024309</v>
      </c>
    </row>
    <row r="76" ht="15.75" customHeight="1">
      <c r="A76" s="14" t="s">
        <v>44</v>
      </c>
      <c r="B76" s="22">
        <v>-0.040146878094024195</v>
      </c>
      <c r="C76" s="22">
        <v>-0.01923546768063355</v>
      </c>
      <c r="D76" s="22">
        <v>-0.010509538089669326</v>
      </c>
      <c r="E76" s="22">
        <v>-0.007302016594826009</v>
      </c>
      <c r="F76" s="22">
        <v>0.0028780794002903286</v>
      </c>
      <c r="G76" s="22">
        <v>0.010777469595919001</v>
      </c>
      <c r="H76" s="22">
        <v>0.014708856572383947</v>
      </c>
      <c r="I76" s="22">
        <v>0.016147117168351287</v>
      </c>
      <c r="J76" s="22">
        <v>0.017115944198452363</v>
      </c>
    </row>
    <row r="77" ht="15.75" customHeight="1">
      <c r="A77" s="14" t="s">
        <v>36</v>
      </c>
      <c r="B77" s="22">
        <v>0.02123755554571768</v>
      </c>
      <c r="C77" s="22">
        <v>1.1739623639572763E-4</v>
      </c>
      <c r="D77" s="22">
        <v>0.016121159730596423</v>
      </c>
      <c r="E77" s="22">
        <v>0.02664494260696069</v>
      </c>
      <c r="F77" s="22">
        <v>0.047328004703247606</v>
      </c>
      <c r="G77" s="22">
        <v>0.047730930434606425</v>
      </c>
      <c r="H77" s="22">
        <v>0.04687816592616689</v>
      </c>
      <c r="I77" s="22">
        <v>0.04843941320668396</v>
      </c>
      <c r="J77" s="22">
        <v>0.051103580933051576</v>
      </c>
    </row>
    <row r="78" ht="15.75" customHeight="1">
      <c r="A78" s="4" t="s">
        <v>20</v>
      </c>
      <c r="B78" s="10">
        <v>0.8367127273500543</v>
      </c>
      <c r="C78" s="10">
        <v>0.4472578223354011</v>
      </c>
      <c r="D78" s="10">
        <v>0.288028838734661</v>
      </c>
      <c r="E78" s="10">
        <v>0.1775644657282059</v>
      </c>
      <c r="F78" s="10">
        <v>0.18386998910290592</v>
      </c>
      <c r="G78" s="10">
        <v>0.17178886134561383</v>
      </c>
      <c r="H78" s="10">
        <v>0.1705929193474577</v>
      </c>
      <c r="I78" s="10">
        <v>0.15116826238904177</v>
      </c>
      <c r="J78" s="10">
        <v>0.1602383581323843</v>
      </c>
    </row>
    <row r="79" ht="15.75" customHeight="1"/>
    <row r="80" ht="15.75" customHeight="1">
      <c r="A80" s="17" t="s">
        <v>99</v>
      </c>
      <c r="B80" s="2"/>
      <c r="C80" s="2"/>
      <c r="D80" s="2"/>
      <c r="E80" s="2"/>
      <c r="F80" s="2"/>
      <c r="G80" s="2"/>
      <c r="H80" s="2"/>
      <c r="I80" s="2"/>
      <c r="J80" s="3"/>
    </row>
    <row r="81" ht="15.75" customHeight="1">
      <c r="A81" s="4"/>
      <c r="B81" s="5">
        <v>2020.0</v>
      </c>
      <c r="C81" s="5">
        <v>2021.0</v>
      </c>
      <c r="D81" s="5">
        <v>2022.0</v>
      </c>
      <c r="E81" s="5">
        <v>2023.0</v>
      </c>
      <c r="F81" s="5">
        <v>2024.0</v>
      </c>
      <c r="G81" s="5" t="s">
        <v>2</v>
      </c>
      <c r="H81" s="5" t="s">
        <v>3</v>
      </c>
      <c r="I81" s="5" t="s">
        <v>4</v>
      </c>
      <c r="J81" s="5" t="s">
        <v>5</v>
      </c>
    </row>
    <row r="82" ht="15.75" customHeight="1">
      <c r="A82" s="14" t="s">
        <v>21</v>
      </c>
      <c r="B82" s="32">
        <v>15.025797818521328</v>
      </c>
      <c r="C82" s="32">
        <v>19.049919613201936</v>
      </c>
      <c r="D82" s="32">
        <v>23.545009096658656</v>
      </c>
      <c r="E82" s="32">
        <v>27.555333750645804</v>
      </c>
      <c r="F82" s="32">
        <v>32.20578340076555</v>
      </c>
      <c r="G82" s="32">
        <v>37.7508572237585</v>
      </c>
      <c r="H82" s="32">
        <v>44.80423720642388</v>
      </c>
      <c r="I82" s="32">
        <v>51.73291017453499</v>
      </c>
      <c r="J82" s="34">
        <v>59.3330483914802</v>
      </c>
    </row>
    <row r="83" ht="15.75" customHeight="1">
      <c r="A83" s="14" t="s">
        <v>97</v>
      </c>
      <c r="B83" s="14" t="s">
        <v>96</v>
      </c>
      <c r="C83" s="22" t="s">
        <v>96</v>
      </c>
      <c r="D83" s="32">
        <v>1.2166557118895</v>
      </c>
      <c r="E83" s="32">
        <v>1.5613264329117422</v>
      </c>
      <c r="F83" s="32">
        <v>1.959656774822389</v>
      </c>
      <c r="G83" s="32">
        <v>2.4532396153389273</v>
      </c>
      <c r="H83" s="32">
        <v>2.998390502889094</v>
      </c>
      <c r="I83" s="32">
        <v>3.5879873301606873</v>
      </c>
      <c r="J83" s="34">
        <v>4.2582444720871</v>
      </c>
    </row>
    <row r="84" ht="15.75" customHeight="1">
      <c r="A84" s="14" t="s">
        <v>89</v>
      </c>
      <c r="B84" s="32">
        <v>673.8536500783156</v>
      </c>
      <c r="C84" s="32">
        <v>744.1138823517584</v>
      </c>
      <c r="D84" s="32">
        <v>768.2453024756545</v>
      </c>
      <c r="E84" s="32">
        <v>819.6901369018782</v>
      </c>
      <c r="F84" s="32">
        <v>882.6673540543443</v>
      </c>
      <c r="G84" s="32">
        <v>956.8092915965285</v>
      </c>
      <c r="H84" s="30">
        <v>1036.5263219509295</v>
      </c>
      <c r="I84" s="30">
        <v>1125.0166043414129</v>
      </c>
      <c r="J84" s="40">
        <v>1216.259231912644</v>
      </c>
    </row>
    <row r="85" ht="15.75" customHeight="1">
      <c r="A85" s="14" t="s">
        <v>46</v>
      </c>
      <c r="B85" s="32">
        <v>18.39995018878966</v>
      </c>
      <c r="C85" s="32">
        <v>17.969097155260023</v>
      </c>
      <c r="D85" s="32">
        <v>18.38966894844087</v>
      </c>
      <c r="E85" s="32">
        <v>19.532428846899037</v>
      </c>
      <c r="F85" s="32">
        <v>19.97109214443299</v>
      </c>
      <c r="G85" s="32">
        <v>20.245355934523758</v>
      </c>
      <c r="H85" s="32">
        <v>20.387987303026804</v>
      </c>
      <c r="I85" s="32">
        <v>20.508534023001676</v>
      </c>
      <c r="J85" s="34">
        <v>20.623730518254494</v>
      </c>
    </row>
    <row r="86" ht="15.75" customHeight="1">
      <c r="A86" s="14" t="s">
        <v>44</v>
      </c>
      <c r="B86" s="32">
        <v>13.07969316365202</v>
      </c>
      <c r="C86" s="32">
        <v>12.828777489021267</v>
      </c>
      <c r="D86" s="32">
        <v>13.659227823327438</v>
      </c>
      <c r="E86" s="32">
        <v>14.12293174467416</v>
      </c>
      <c r="F86" s="32">
        <v>14.753251411388941</v>
      </c>
      <c r="G86" s="32">
        <v>15.313724617690156</v>
      </c>
      <c r="H86" s="32">
        <v>15.933787530905628</v>
      </c>
      <c r="I86" s="32">
        <v>16.73555044886494</v>
      </c>
      <c r="J86" s="34">
        <v>17.535551487458928</v>
      </c>
    </row>
    <row r="87" ht="15.75" customHeight="1">
      <c r="A87" s="14" t="s">
        <v>51</v>
      </c>
      <c r="B87" s="32">
        <v>47.803619220476634</v>
      </c>
      <c r="C87" s="32">
        <v>48.52067350878378</v>
      </c>
      <c r="D87" s="32">
        <v>49.584004551486416</v>
      </c>
      <c r="E87" s="32">
        <v>50.4748665119312</v>
      </c>
      <c r="F87" s="32">
        <v>51.22182277698134</v>
      </c>
      <c r="G87" s="32">
        <v>52.039332986358104</v>
      </c>
      <c r="H87" s="32">
        <v>53.00950358543035</v>
      </c>
      <c r="I87" s="32">
        <v>54.12686668748462</v>
      </c>
      <c r="J87" s="34">
        <v>55.21073640134622</v>
      </c>
    </row>
    <row r="88" ht="15.75" customHeight="1">
      <c r="A88" s="14" t="s">
        <v>28</v>
      </c>
      <c r="B88" s="32">
        <v>103.86269387846095</v>
      </c>
      <c r="C88" s="32">
        <v>111.52643299959843</v>
      </c>
      <c r="D88" s="32">
        <v>116.16985045935724</v>
      </c>
      <c r="E88" s="32">
        <v>122.91123653235869</v>
      </c>
      <c r="F88" s="32">
        <v>132.7345477212951</v>
      </c>
      <c r="G88" s="32">
        <v>143.47698251645838</v>
      </c>
      <c r="H88" s="32">
        <v>155.69342934769776</v>
      </c>
      <c r="I88" s="32">
        <v>166.88109174374623</v>
      </c>
      <c r="J88" s="34">
        <v>178.27308725960322</v>
      </c>
    </row>
    <row r="89" ht="15.75" customHeight="1">
      <c r="A89" s="14" t="s">
        <v>20</v>
      </c>
      <c r="B89" s="32">
        <v>5.888004313582786</v>
      </c>
      <c r="C89" s="32">
        <v>9.21192915827536</v>
      </c>
      <c r="D89" s="32">
        <v>12.135026536409836</v>
      </c>
      <c r="E89" s="32">
        <v>14.088125809463367</v>
      </c>
      <c r="F89" s="32">
        <v>16.24073501957364</v>
      </c>
      <c r="G89" s="32">
        <v>19.189542743850428</v>
      </c>
      <c r="H89" s="32">
        <v>21.696452568403956</v>
      </c>
      <c r="I89" s="32">
        <v>24.28552056226156</v>
      </c>
      <c r="J89" s="34">
        <v>27.038644401907764</v>
      </c>
    </row>
    <row r="90" ht="15.75" customHeight="1">
      <c r="A90" s="4" t="s">
        <v>29</v>
      </c>
      <c r="B90" s="35">
        <v>28.104148139526806</v>
      </c>
      <c r="C90" s="35">
        <v>30.45096310744629</v>
      </c>
      <c r="D90" s="35">
        <v>32.17132955747764</v>
      </c>
      <c r="E90" s="35">
        <v>33.49500037953283</v>
      </c>
      <c r="F90" s="35">
        <v>34.71914093879986</v>
      </c>
      <c r="G90" s="35">
        <v>36.09537437267737</v>
      </c>
      <c r="H90" s="35">
        <v>37.420810197301684</v>
      </c>
      <c r="I90" s="35">
        <v>38.69946823427381</v>
      </c>
      <c r="J90" s="36">
        <v>39.95570016865016</v>
      </c>
    </row>
    <row r="91" ht="15.75" customHeight="1"/>
    <row r="92" ht="15.75" customHeight="1">
      <c r="A92" s="17" t="s">
        <v>100</v>
      </c>
      <c r="B92" s="2"/>
      <c r="C92" s="2"/>
      <c r="D92" s="2"/>
      <c r="E92" s="2"/>
      <c r="F92" s="2"/>
      <c r="G92" s="2"/>
      <c r="H92" s="2"/>
      <c r="I92" s="2"/>
      <c r="J92" s="3"/>
    </row>
    <row r="93" ht="15.75" customHeight="1">
      <c r="A93" s="4"/>
      <c r="B93" s="5">
        <v>2020.0</v>
      </c>
      <c r="C93" s="5">
        <v>2021.0</v>
      </c>
      <c r="D93" s="5">
        <v>2022.0</v>
      </c>
      <c r="E93" s="5">
        <v>2023.0</v>
      </c>
      <c r="F93" s="5">
        <v>2024.0</v>
      </c>
      <c r="G93" s="5" t="s">
        <v>2</v>
      </c>
      <c r="H93" s="5" t="s">
        <v>3</v>
      </c>
      <c r="I93" s="5" t="s">
        <v>4</v>
      </c>
      <c r="J93" s="5" t="s">
        <v>5</v>
      </c>
    </row>
    <row r="94" ht="15.75" customHeight="1">
      <c r="A94" s="14" t="s">
        <v>21</v>
      </c>
      <c r="B94" s="22">
        <v>0.5042072517431722</v>
      </c>
      <c r="C94" s="39">
        <v>0.26781418486280534</v>
      </c>
      <c r="D94" s="39">
        <v>0.235963698258419</v>
      </c>
      <c r="E94" s="39">
        <v>0.1703258910422874</v>
      </c>
      <c r="F94" s="39">
        <v>0.16876767642165655</v>
      </c>
      <c r="G94" s="39">
        <v>0.1721763372121898</v>
      </c>
      <c r="H94" s="39">
        <v>0.18684026009948013</v>
      </c>
      <c r="I94" s="39">
        <v>0.15464325251625322</v>
      </c>
      <c r="J94" s="22">
        <v>0.14691108989044055</v>
      </c>
    </row>
    <row r="95" ht="15.75" customHeight="1">
      <c r="A95" s="14" t="s">
        <v>97</v>
      </c>
      <c r="B95" s="14" t="s">
        <v>96</v>
      </c>
      <c r="C95" s="22" t="s">
        <v>96</v>
      </c>
      <c r="D95" s="22" t="s">
        <v>96</v>
      </c>
      <c r="E95" s="22">
        <v>0.28329355433424874</v>
      </c>
      <c r="F95" s="22">
        <v>0.25512303738289643</v>
      </c>
      <c r="G95" s="22">
        <v>0.25187208640720954</v>
      </c>
      <c r="H95" s="22">
        <v>0.22221673094694885</v>
      </c>
      <c r="I95" s="22">
        <v>0.19663777173236383</v>
      </c>
      <c r="J95" s="22">
        <v>0.18680588314574562</v>
      </c>
    </row>
    <row r="96" ht="15.75" customHeight="1">
      <c r="A96" s="14" t="s">
        <v>89</v>
      </c>
      <c r="B96" s="22">
        <v>0.027380378492848113</v>
      </c>
      <c r="C96" s="22">
        <v>0.1042663080704203</v>
      </c>
      <c r="D96" s="22">
        <v>0.03242974052255169</v>
      </c>
      <c r="E96" s="22">
        <v>0.06696407288198675</v>
      </c>
      <c r="F96" s="22">
        <v>0.07683051718847855</v>
      </c>
      <c r="G96" s="22">
        <v>0.08399759796443025</v>
      </c>
      <c r="H96" s="22">
        <v>0.08331548518031787</v>
      </c>
      <c r="I96" s="22">
        <v>0.08537195873996588</v>
      </c>
      <c r="J96" s="22">
        <v>0.08110336080296758</v>
      </c>
    </row>
    <row r="97" ht="15.75" customHeight="1">
      <c r="A97" s="14" t="s">
        <v>46</v>
      </c>
      <c r="B97" s="22">
        <v>-0.0291255187359937</v>
      </c>
      <c r="C97" s="22">
        <v>-0.023415989125456328</v>
      </c>
      <c r="D97" s="22">
        <v>0.02340528238825486</v>
      </c>
      <c r="E97" s="22">
        <v>0.062141406768230746</v>
      </c>
      <c r="F97" s="22">
        <v>0.022458205324710302</v>
      </c>
      <c r="G97" s="22">
        <v>0.013733039140136327</v>
      </c>
      <c r="H97" s="22">
        <v>0.0070451400787585935</v>
      </c>
      <c r="I97" s="22">
        <v>0.005912634640348995</v>
      </c>
      <c r="J97" s="22">
        <v>0.005617002908331545</v>
      </c>
    </row>
    <row r="98" ht="15.75" customHeight="1">
      <c r="A98" s="14" t="s">
        <v>44</v>
      </c>
      <c r="B98" s="22">
        <v>-0.038069968577952515</v>
      </c>
      <c r="C98" s="22">
        <v>-0.01918360557020093</v>
      </c>
      <c r="D98" s="22">
        <v>0.0647333960712049</v>
      </c>
      <c r="E98" s="22">
        <v>0.033948033325485766</v>
      </c>
      <c r="F98" s="22">
        <v>0.04463093627514545</v>
      </c>
      <c r="G98" s="22">
        <v>0.037989809206975936</v>
      </c>
      <c r="H98" s="22">
        <v>0.04049066629415458</v>
      </c>
      <c r="I98" s="22">
        <v>0.05031841402454952</v>
      </c>
      <c r="J98" s="22">
        <v>0.047802493323322044</v>
      </c>
    </row>
    <row r="99" ht="15.75" customHeight="1">
      <c r="A99" s="14" t="s">
        <v>51</v>
      </c>
      <c r="B99" s="22">
        <v>0.008055857047115256</v>
      </c>
      <c r="C99" s="22">
        <v>0.014999999999999932</v>
      </c>
      <c r="D99" s="22">
        <v>0.021915009949524698</v>
      </c>
      <c r="E99" s="22">
        <v>0.017966720689526774</v>
      </c>
      <c r="F99" s="22">
        <v>0.014798578315676767</v>
      </c>
      <c r="G99" s="22">
        <v>0.015960193625599473</v>
      </c>
      <c r="H99" s="22">
        <v>0.018643025254120253</v>
      </c>
      <c r="I99" s="22">
        <v>0.0210785430249035</v>
      </c>
      <c r="J99" s="22">
        <v>0.020024615873658325</v>
      </c>
    </row>
    <row r="100" ht="15.75" customHeight="1">
      <c r="A100" s="14" t="s">
        <v>28</v>
      </c>
      <c r="B100" s="22">
        <v>0.06280691933214182</v>
      </c>
      <c r="C100" s="22">
        <v>0.07378721690105121</v>
      </c>
      <c r="D100" s="22">
        <v>0.04163512931302598</v>
      </c>
      <c r="E100" s="22">
        <v>0.05803042739871622</v>
      </c>
      <c r="F100" s="22">
        <v>0.07992199465302939</v>
      </c>
      <c r="G100" s="22">
        <v>0.08093171656952007</v>
      </c>
      <c r="H100" s="22">
        <v>0.08514569108559292</v>
      </c>
      <c r="I100" s="22">
        <v>0.0718569977096718</v>
      </c>
      <c r="J100" s="22">
        <v>0.0682641478241882</v>
      </c>
    </row>
    <row r="101" ht="15.75" customHeight="1">
      <c r="A101" s="14" t="s">
        <v>20</v>
      </c>
      <c r="B101" s="22">
        <v>0.598545888236761</v>
      </c>
      <c r="C101" s="22">
        <v>0.5645248657554062</v>
      </c>
      <c r="D101" s="22">
        <v>0.3173165281572499</v>
      </c>
      <c r="E101" s="22">
        <v>0.16094726016407698</v>
      </c>
      <c r="F101" s="22">
        <v>0.152795995664967</v>
      </c>
      <c r="G101" s="22">
        <v>0.18156861254880569</v>
      </c>
      <c r="H101" s="22">
        <v>0.1306393726008351</v>
      </c>
      <c r="I101" s="22">
        <v>0.11933139695048602</v>
      </c>
      <c r="J101" s="22">
        <v>0.11336482710296171</v>
      </c>
    </row>
    <row r="102" ht="15.75" customHeight="1">
      <c r="A102" s="4" t="s">
        <v>29</v>
      </c>
      <c r="B102" s="10">
        <v>0.09826891369816705</v>
      </c>
      <c r="C102" s="10">
        <v>0.08350421995601533</v>
      </c>
      <c r="D102" s="10">
        <v>0.05649629024740638</v>
      </c>
      <c r="E102" s="10">
        <v>0.041144423940897665</v>
      </c>
      <c r="F102" s="10">
        <v>0.03654696358848351</v>
      </c>
      <c r="G102" s="10">
        <v>0.03963904050228155</v>
      </c>
      <c r="H102" s="10">
        <v>0.036720378931091285</v>
      </c>
      <c r="I102" s="10">
        <v>0.03416970477737881</v>
      </c>
      <c r="J102" s="10">
        <v>0.03246121953850987</v>
      </c>
    </row>
    <row r="103" ht="15.75" customHeight="1"/>
    <row r="104" ht="15.75" customHeight="1">
      <c r="A104" s="17" t="s">
        <v>101</v>
      </c>
      <c r="B104" s="2"/>
      <c r="C104" s="2"/>
      <c r="D104" s="2"/>
      <c r="E104" s="2"/>
      <c r="F104" s="2"/>
      <c r="G104" s="2"/>
      <c r="H104" s="2"/>
      <c r="I104" s="2"/>
      <c r="J104" s="3"/>
    </row>
    <row r="105" ht="15.75" customHeight="1">
      <c r="A105" s="4"/>
      <c r="B105" s="5">
        <v>2020.0</v>
      </c>
      <c r="C105" s="5">
        <v>2021.0</v>
      </c>
      <c r="D105" s="5">
        <v>2022.0</v>
      </c>
      <c r="E105" s="5">
        <v>2023.0</v>
      </c>
      <c r="F105" s="5">
        <v>2024.0</v>
      </c>
      <c r="G105" s="5" t="s">
        <v>2</v>
      </c>
      <c r="H105" s="5" t="s">
        <v>3</v>
      </c>
      <c r="I105" s="5" t="s">
        <v>4</v>
      </c>
      <c r="J105" s="5" t="s">
        <v>5</v>
      </c>
    </row>
    <row r="106" ht="15.75" customHeight="1">
      <c r="A106" s="6" t="s">
        <v>40</v>
      </c>
      <c r="B106" s="41">
        <v>6.348363976250001</v>
      </c>
      <c r="C106" s="41">
        <v>6.750951163110002</v>
      </c>
      <c r="D106" s="41">
        <v>7.52641648748955</v>
      </c>
      <c r="E106" s="41">
        <v>15.046453873158885</v>
      </c>
      <c r="F106" s="41">
        <v>23.917530078462214</v>
      </c>
      <c r="G106" s="41">
        <v>29.00557832521173</v>
      </c>
      <c r="H106" s="41">
        <v>32.260985455084985</v>
      </c>
      <c r="I106" s="41">
        <v>35.24578073560967</v>
      </c>
      <c r="J106" s="34">
        <v>38.4741206058556</v>
      </c>
    </row>
    <row r="107" ht="15.75" customHeight="1">
      <c r="A107" s="14" t="s">
        <v>89</v>
      </c>
      <c r="B107" s="41">
        <v>330.5310606716472</v>
      </c>
      <c r="C107" s="41">
        <v>335.23091969935115</v>
      </c>
      <c r="D107" s="41">
        <v>296.18446718989884</v>
      </c>
      <c r="E107" s="41">
        <v>322.37089528516617</v>
      </c>
      <c r="F107" s="41">
        <v>398.90786619257534</v>
      </c>
      <c r="G107" s="41">
        <v>488.162161043762</v>
      </c>
      <c r="H107" s="41">
        <v>542.7251586679583</v>
      </c>
      <c r="I107" s="41">
        <v>599.4382350891299</v>
      </c>
      <c r="J107" s="34">
        <v>659.8852705492634</v>
      </c>
    </row>
    <row r="108" ht="15.75" customHeight="1">
      <c r="A108" s="11" t="s">
        <v>54</v>
      </c>
      <c r="B108" s="41">
        <v>41.32413943638544</v>
      </c>
      <c r="C108" s="41">
        <v>40.14212434814104</v>
      </c>
      <c r="D108" s="41">
        <v>39.639480522028904</v>
      </c>
      <c r="E108" s="41">
        <v>40.47394181696197</v>
      </c>
      <c r="F108" s="41">
        <v>41.47888983330229</v>
      </c>
      <c r="G108" s="41">
        <v>42.61519685400546</v>
      </c>
      <c r="H108" s="41">
        <v>43.92022185740075</v>
      </c>
      <c r="I108" s="41">
        <v>45.66951675484713</v>
      </c>
      <c r="J108" s="34">
        <v>47.60671705691222</v>
      </c>
    </row>
    <row r="109" ht="15.75" customHeight="1">
      <c r="A109" s="14" t="s">
        <v>44</v>
      </c>
      <c r="B109" s="41">
        <v>8.578516084673161</v>
      </c>
      <c r="C109" s="41">
        <v>8.412995560410181</v>
      </c>
      <c r="D109" s="41">
        <v>8.203067248114067</v>
      </c>
      <c r="E109" s="41">
        <v>8.062677639583523</v>
      </c>
      <c r="F109" s="41">
        <v>8.005886392433773</v>
      </c>
      <c r="G109" s="41">
        <v>8.053603090531787</v>
      </c>
      <c r="H109" s="41">
        <v>8.174503273343715</v>
      </c>
      <c r="I109" s="41">
        <v>8.309456483417366</v>
      </c>
      <c r="J109" s="34">
        <v>8.474073873207088</v>
      </c>
    </row>
    <row r="110" ht="15.75" customHeight="1">
      <c r="A110" s="14" t="s">
        <v>32</v>
      </c>
      <c r="B110" s="41">
        <v>39.543933671495125</v>
      </c>
      <c r="C110" s="41">
        <v>38.71957205559296</v>
      </c>
      <c r="D110" s="41">
        <v>38.56414599613076</v>
      </c>
      <c r="E110" s="41">
        <v>39.05891230748477</v>
      </c>
      <c r="F110" s="41">
        <v>40.38921036568725</v>
      </c>
      <c r="G110" s="41">
        <v>41.76073653186761</v>
      </c>
      <c r="H110" s="41">
        <v>43.10084418612644</v>
      </c>
      <c r="I110" s="41">
        <v>44.300124386788866</v>
      </c>
      <c r="J110" s="34">
        <v>45.58824379384929</v>
      </c>
    </row>
    <row r="111" ht="15.75" customHeight="1">
      <c r="A111" s="4" t="s">
        <v>28</v>
      </c>
      <c r="B111" s="42">
        <v>3.9467763716360587</v>
      </c>
      <c r="C111" s="42">
        <v>4.238675029617182</v>
      </c>
      <c r="D111" s="42">
        <v>4.423034580061827</v>
      </c>
      <c r="E111" s="42">
        <v>3.844322847737444</v>
      </c>
      <c r="F111" s="42">
        <v>4.14070225502828</v>
      </c>
      <c r="G111" s="42">
        <v>4.45634470389297</v>
      </c>
      <c r="H111" s="42">
        <v>4.803726410965602</v>
      </c>
      <c r="I111" s="42">
        <v>5.185530174830879</v>
      </c>
      <c r="J111" s="36">
        <v>5.612105230511257</v>
      </c>
    </row>
    <row r="112" ht="15.75" customHeight="1"/>
    <row r="113" ht="15.75" customHeight="1">
      <c r="A113" s="17" t="s">
        <v>102</v>
      </c>
      <c r="B113" s="2"/>
      <c r="C113" s="2"/>
      <c r="D113" s="2"/>
      <c r="E113" s="2"/>
      <c r="F113" s="2"/>
      <c r="G113" s="2"/>
      <c r="H113" s="2"/>
      <c r="I113" s="2"/>
      <c r="J113" s="3"/>
    </row>
    <row r="114" ht="15.75" customHeight="1">
      <c r="A114" s="4"/>
      <c r="B114" s="5">
        <v>2020.0</v>
      </c>
      <c r="C114" s="5">
        <v>2021.0</v>
      </c>
      <c r="D114" s="5">
        <v>2022.0</v>
      </c>
      <c r="E114" s="5">
        <v>2023.0</v>
      </c>
      <c r="F114" s="5">
        <v>2024.0</v>
      </c>
      <c r="G114" s="5" t="s">
        <v>2</v>
      </c>
      <c r="H114" s="5" t="s">
        <v>3</v>
      </c>
      <c r="I114" s="5" t="s">
        <v>4</v>
      </c>
      <c r="J114" s="5" t="s">
        <v>5</v>
      </c>
    </row>
    <row r="115" ht="15.75" customHeight="1">
      <c r="A115" s="6" t="s">
        <v>40</v>
      </c>
      <c r="B115" s="22">
        <v>0.04643265939576692</v>
      </c>
      <c r="C115" s="22">
        <v>0.06341589555452842</v>
      </c>
      <c r="D115" s="22">
        <v>0.11486756542056073</v>
      </c>
      <c r="E115" s="22">
        <v>0.9991524383707946</v>
      </c>
      <c r="F115" s="22">
        <v>0.5895791978685617</v>
      </c>
      <c r="G115" s="22">
        <v>0.21273301340305678</v>
      </c>
      <c r="H115" s="22">
        <v>0.1122338294163108</v>
      </c>
      <c r="I115" s="22">
        <v>0.09252027606782923</v>
      </c>
      <c r="J115" s="22">
        <v>0.09159507330715093</v>
      </c>
    </row>
    <row r="116" ht="15.75" customHeight="1">
      <c r="A116" s="14" t="s">
        <v>89</v>
      </c>
      <c r="B116" s="22">
        <v>-0.0706647123460828</v>
      </c>
      <c r="C116" s="22">
        <v>0.01421911459139036</v>
      </c>
      <c r="D116" s="22">
        <v>-0.11647628609100488</v>
      </c>
      <c r="E116" s="22">
        <v>0.08841256377728238</v>
      </c>
      <c r="F116" s="22">
        <v>0.23741898548163073</v>
      </c>
      <c r="G116" s="22">
        <v>0.22374664030339925</v>
      </c>
      <c r="H116" s="22">
        <v>0.11177227974313426</v>
      </c>
      <c r="I116" s="22">
        <v>0.10449686275898046</v>
      </c>
      <c r="J116" s="22">
        <v>0.10083947256241614</v>
      </c>
    </row>
    <row r="117" ht="15.75" customHeight="1">
      <c r="A117" s="14" t="s">
        <v>54</v>
      </c>
      <c r="B117" s="22">
        <v>-0.1843701114168019</v>
      </c>
      <c r="C117" s="22">
        <v>-0.028603501594122668</v>
      </c>
      <c r="D117" s="22">
        <v>-0.012521605028992727</v>
      </c>
      <c r="E117" s="22">
        <v>0.02105126716959188</v>
      </c>
      <c r="F117" s="22">
        <v>0.024829506868519646</v>
      </c>
      <c r="G117" s="22">
        <v>0.02739482723066664</v>
      </c>
      <c r="H117" s="22">
        <v>0.030623465330129652</v>
      </c>
      <c r="I117" s="22">
        <v>0.0398289176026013</v>
      </c>
      <c r="J117" s="22">
        <v>0.04241779724677038</v>
      </c>
    </row>
    <row r="118" ht="15.75" customHeight="1">
      <c r="A118" s="14" t="s">
        <v>44</v>
      </c>
      <c r="B118" s="22">
        <v>-0.04471178061776963</v>
      </c>
      <c r="C118" s="22">
        <v>-0.019294773435082596</v>
      </c>
      <c r="D118" s="22">
        <v>-0.024952861414071492</v>
      </c>
      <c r="E118" s="22">
        <v>-0.017114282290300674</v>
      </c>
      <c r="F118" s="22">
        <v>-0.007043720422472898</v>
      </c>
      <c r="G118" s="22">
        <v>0.005960201751440118</v>
      </c>
      <c r="H118" s="22">
        <v>0.015011937073738369</v>
      </c>
      <c r="I118" s="22">
        <v>0.016509041046410742</v>
      </c>
      <c r="J118" s="22">
        <v>0.01981084925569289</v>
      </c>
    </row>
    <row r="119" ht="15.75" customHeight="1">
      <c r="A119" s="14" t="s">
        <v>32</v>
      </c>
      <c r="B119" s="22">
        <v>-0.07205499166045623</v>
      </c>
      <c r="C119" s="22">
        <v>-0.020846727661198664</v>
      </c>
      <c r="D119" s="22">
        <v>-0.004014147140857922</v>
      </c>
      <c r="E119" s="22">
        <v>0.012829697081938417</v>
      </c>
      <c r="F119" s="22">
        <v>0.0340587584142111</v>
      </c>
      <c r="G119" s="22">
        <v>0.03395773657772579</v>
      </c>
      <c r="H119" s="22">
        <v>0.03209013455105597</v>
      </c>
      <c r="I119" s="22">
        <v>0.027824981698350595</v>
      </c>
      <c r="J119" s="22">
        <v>0.02907710587477637</v>
      </c>
    </row>
    <row r="120" ht="15.75" customHeight="1">
      <c r="A120" s="4" t="s">
        <v>28</v>
      </c>
      <c r="B120" s="10">
        <v>0.0629860373208203</v>
      </c>
      <c r="C120" s="10">
        <v>0.07395875278844916</v>
      </c>
      <c r="D120" s="10">
        <v>0.04349461781251384</v>
      </c>
      <c r="E120" s="10">
        <v>-0.13084042682666389</v>
      </c>
      <c r="F120" s="10">
        <v>0.07709534787518409</v>
      </c>
      <c r="G120" s="10">
        <v>0.07622920688909424</v>
      </c>
      <c r="H120" s="10">
        <v>0.07795216262538364</v>
      </c>
      <c r="I120" s="10">
        <v>0.07948074707038316</v>
      </c>
      <c r="J120" s="10">
        <v>0.08226257321784657</v>
      </c>
    </row>
    <row r="121" ht="15.75" customHeight="1"/>
    <row r="122" ht="15.75" customHeight="1">
      <c r="A122" s="17" t="s">
        <v>103</v>
      </c>
      <c r="B122" s="2"/>
      <c r="C122" s="2"/>
      <c r="D122" s="2"/>
      <c r="E122" s="2"/>
      <c r="F122" s="2"/>
      <c r="G122" s="2"/>
      <c r="H122" s="2"/>
      <c r="I122" s="2"/>
      <c r="J122" s="3"/>
    </row>
    <row r="123" ht="15.75" customHeight="1">
      <c r="A123" s="4"/>
      <c r="B123" s="5">
        <v>2020.0</v>
      </c>
      <c r="C123" s="5">
        <v>2021.0</v>
      </c>
      <c r="D123" s="5">
        <v>2022.0</v>
      </c>
      <c r="E123" s="5">
        <v>2023.0</v>
      </c>
      <c r="F123" s="5">
        <v>2024.0</v>
      </c>
      <c r="G123" s="5" t="s">
        <v>2</v>
      </c>
      <c r="H123" s="5" t="s">
        <v>3</v>
      </c>
      <c r="I123" s="5" t="s">
        <v>4</v>
      </c>
      <c r="J123" s="5" t="s">
        <v>5</v>
      </c>
    </row>
    <row r="124" ht="15.75" customHeight="1">
      <c r="A124" s="14" t="s">
        <v>30</v>
      </c>
      <c r="B124" s="32">
        <v>62.02873519752311</v>
      </c>
      <c r="C124" s="32">
        <v>66.37559565740449</v>
      </c>
      <c r="D124" s="32">
        <v>79.01058236914449</v>
      </c>
      <c r="E124" s="32">
        <v>80.22337253394042</v>
      </c>
      <c r="F124" s="32">
        <v>79.1399703953254</v>
      </c>
      <c r="G124" s="32">
        <v>78.31342778488688</v>
      </c>
      <c r="H124" s="32">
        <v>78.51270396158799</v>
      </c>
      <c r="I124" s="32">
        <v>79.479022165673</v>
      </c>
      <c r="J124" s="33">
        <v>80.55505476033508</v>
      </c>
    </row>
    <row r="125" ht="15.75" customHeight="1">
      <c r="A125" s="6" t="s">
        <v>104</v>
      </c>
      <c r="B125" s="32">
        <v>42.97521370819829</v>
      </c>
      <c r="C125" s="32">
        <v>43.57133004578291</v>
      </c>
      <c r="D125" s="32">
        <v>47.0939366168032</v>
      </c>
      <c r="E125" s="32">
        <v>50.64076514624831</v>
      </c>
      <c r="F125" s="32">
        <v>53.62468569559966</v>
      </c>
      <c r="G125" s="32">
        <v>56.60431958305736</v>
      </c>
      <c r="H125" s="32">
        <v>59.573499018360486</v>
      </c>
      <c r="I125" s="32">
        <v>62.5287787282591</v>
      </c>
      <c r="J125" s="34">
        <v>65.47556769315172</v>
      </c>
    </row>
    <row r="126" ht="15.75" customHeight="1">
      <c r="A126" s="14" t="s">
        <v>89</v>
      </c>
      <c r="B126" s="32">
        <v>104.6482107290853</v>
      </c>
      <c r="C126" s="32">
        <v>117.3627048248105</v>
      </c>
      <c r="D126" s="32">
        <v>124.29810281602306</v>
      </c>
      <c r="E126" s="32">
        <v>132.40197860184168</v>
      </c>
      <c r="F126" s="32">
        <v>141.91690597314062</v>
      </c>
      <c r="G126" s="32">
        <v>155.28288957206112</v>
      </c>
      <c r="H126" s="32">
        <v>170.12137152616438</v>
      </c>
      <c r="I126" s="32">
        <v>186.68832346756267</v>
      </c>
      <c r="J126" s="34">
        <v>205.3231244131478</v>
      </c>
    </row>
    <row r="127" ht="15.75" customHeight="1">
      <c r="A127" s="6" t="s">
        <v>25</v>
      </c>
      <c r="B127" s="32">
        <v>19.714263194803493</v>
      </c>
      <c r="C127" s="32">
        <v>20.137184439092035</v>
      </c>
      <c r="D127" s="32">
        <v>21.168067085789495</v>
      </c>
      <c r="E127" s="32">
        <v>22.16054929232743</v>
      </c>
      <c r="F127" s="32">
        <v>23.35895335080536</v>
      </c>
      <c r="G127" s="32">
        <v>24.678558931355752</v>
      </c>
      <c r="H127" s="32">
        <v>26.078144459306717</v>
      </c>
      <c r="I127" s="32">
        <v>27.519914768613518</v>
      </c>
      <c r="J127" s="34">
        <v>28.965321526193872</v>
      </c>
    </row>
    <row r="128" ht="15.75" customHeight="1">
      <c r="A128" s="14" t="s">
        <v>35</v>
      </c>
      <c r="B128" s="32">
        <v>20.011832215416778</v>
      </c>
      <c r="C128" s="32">
        <v>20.87384746836922</v>
      </c>
      <c r="D128" s="32">
        <v>20.424065801715663</v>
      </c>
      <c r="E128" s="32">
        <v>20.29758722656136</v>
      </c>
      <c r="F128" s="32">
        <v>20.321101198890393</v>
      </c>
      <c r="G128" s="32">
        <v>20.460230703422894</v>
      </c>
      <c r="H128" s="32">
        <v>20.681236009357136</v>
      </c>
      <c r="I128" s="32">
        <v>20.925158350828095</v>
      </c>
      <c r="J128" s="34">
        <v>21.191701545235688</v>
      </c>
    </row>
    <row r="129" ht="15.75" customHeight="1">
      <c r="A129" s="6" t="s">
        <v>34</v>
      </c>
      <c r="B129" s="32">
        <v>60.42670531901989</v>
      </c>
      <c r="C129" s="32">
        <v>68.65240354861899</v>
      </c>
      <c r="D129" s="32">
        <v>67.88160991840996</v>
      </c>
      <c r="E129" s="32">
        <v>68.98217707564923</v>
      </c>
      <c r="F129" s="32">
        <v>71.5082886261276</v>
      </c>
      <c r="G129" s="32">
        <v>74.26256333094769</v>
      </c>
      <c r="H129" s="32">
        <v>77.39999398558152</v>
      </c>
      <c r="I129" s="32">
        <v>80.70705624749024</v>
      </c>
      <c r="J129" s="34">
        <v>84.32783718756781</v>
      </c>
    </row>
    <row r="130" ht="15.75" customHeight="1">
      <c r="A130" s="14" t="s">
        <v>66</v>
      </c>
      <c r="B130" s="32">
        <v>18.071513909506624</v>
      </c>
      <c r="C130" s="32">
        <v>18.640462050907878</v>
      </c>
      <c r="D130" s="32">
        <v>17.757709448510603</v>
      </c>
      <c r="E130" s="32">
        <v>17.572763895623197</v>
      </c>
      <c r="F130" s="32">
        <v>17.755406659810816</v>
      </c>
      <c r="G130" s="32">
        <v>18.172164869026165</v>
      </c>
      <c r="H130" s="32">
        <v>18.66791869140988</v>
      </c>
      <c r="I130" s="32">
        <v>19.261724128258848</v>
      </c>
      <c r="J130" s="34">
        <v>19.843783160363095</v>
      </c>
    </row>
    <row r="131" ht="15.75" customHeight="1">
      <c r="A131" s="14" t="s">
        <v>20</v>
      </c>
      <c r="B131" s="32">
        <v>4.043922881091424</v>
      </c>
      <c r="C131" s="32">
        <v>6.333902042087802</v>
      </c>
      <c r="D131" s="32">
        <v>7.35758380154469</v>
      </c>
      <c r="E131" s="32">
        <v>9.819787496277343</v>
      </c>
      <c r="F131" s="32">
        <v>13.430547418958172</v>
      </c>
      <c r="G131" s="32">
        <v>16.26909044663539</v>
      </c>
      <c r="H131" s="32">
        <v>19.768049504918938</v>
      </c>
      <c r="I131" s="32">
        <v>22.698027885186278</v>
      </c>
      <c r="J131" s="34">
        <v>25.894068769931373</v>
      </c>
    </row>
    <row r="132" ht="15.75" customHeight="1">
      <c r="A132" s="14" t="s">
        <v>42</v>
      </c>
      <c r="B132" s="32">
        <v>11.28222009033471</v>
      </c>
      <c r="C132" s="32">
        <v>14.153077252231252</v>
      </c>
      <c r="D132" s="32">
        <v>14.973580924369532</v>
      </c>
      <c r="E132" s="32">
        <v>15.782160379964491</v>
      </c>
      <c r="F132" s="32">
        <v>16.724756450052237</v>
      </c>
      <c r="G132" s="32">
        <v>17.777340992990418</v>
      </c>
      <c r="H132" s="32">
        <v>18.9360955585137</v>
      </c>
      <c r="I132" s="32">
        <v>20.16171969811926</v>
      </c>
      <c r="J132" s="34">
        <v>21.531918997953763</v>
      </c>
    </row>
    <row r="133" ht="15.75" customHeight="1">
      <c r="A133" s="4" t="s">
        <v>19</v>
      </c>
      <c r="B133" s="35">
        <v>103.4883236884289</v>
      </c>
      <c r="C133" s="35">
        <v>102.02743995128515</v>
      </c>
      <c r="D133" s="35">
        <v>104.80700794297799</v>
      </c>
      <c r="E133" s="35">
        <v>108.66985572296797</v>
      </c>
      <c r="F133" s="35">
        <v>114.23410000294155</v>
      </c>
      <c r="G133" s="35">
        <v>120.99898750725744</v>
      </c>
      <c r="H133" s="35">
        <v>128.80186839616735</v>
      </c>
      <c r="I133" s="35">
        <v>137.6377054560192</v>
      </c>
      <c r="J133" s="36">
        <v>146.13548517350435</v>
      </c>
    </row>
    <row r="134" ht="15.75" customHeight="1"/>
    <row r="135" ht="15.75" customHeight="1">
      <c r="A135" s="17" t="s">
        <v>105</v>
      </c>
      <c r="B135" s="2"/>
      <c r="C135" s="2"/>
      <c r="D135" s="2"/>
      <c r="E135" s="2"/>
      <c r="F135" s="2"/>
      <c r="G135" s="2"/>
      <c r="H135" s="2"/>
      <c r="I135" s="2"/>
      <c r="J135" s="3"/>
    </row>
    <row r="136" ht="15.75" customHeight="1">
      <c r="A136" s="4"/>
      <c r="B136" s="5">
        <v>2020.0</v>
      </c>
      <c r="C136" s="5">
        <v>2021.0</v>
      </c>
      <c r="D136" s="5">
        <v>2022.0</v>
      </c>
      <c r="E136" s="5">
        <v>2023.0</v>
      </c>
      <c r="F136" s="5">
        <v>2024.0</v>
      </c>
      <c r="G136" s="5" t="s">
        <v>2</v>
      </c>
      <c r="H136" s="5" t="s">
        <v>3</v>
      </c>
      <c r="I136" s="5" t="s">
        <v>4</v>
      </c>
      <c r="J136" s="5" t="s">
        <v>5</v>
      </c>
    </row>
    <row r="137" ht="15.75" customHeight="1">
      <c r="A137" s="14" t="s">
        <v>30</v>
      </c>
      <c r="B137" s="22">
        <v>0.09742880384872439</v>
      </c>
      <c r="C137" s="22">
        <v>0.07007817338269623</v>
      </c>
      <c r="D137" s="22">
        <v>0.19035590696549193</v>
      </c>
      <c r="E137" s="22">
        <v>0.015349718081176387</v>
      </c>
      <c r="F137" s="22">
        <v>-0.01350481916173064</v>
      </c>
      <c r="G137" s="22">
        <v>-0.010444060141919695</v>
      </c>
      <c r="H137" s="22">
        <v>0.0025445978082900547</v>
      </c>
      <c r="I137" s="22">
        <v>0.012307794220891694</v>
      </c>
      <c r="J137" s="22">
        <v>0.013538573642980865</v>
      </c>
    </row>
    <row r="138" ht="15.75" customHeight="1">
      <c r="A138" s="14" t="s">
        <v>104</v>
      </c>
      <c r="B138" s="22">
        <v>0.12759068836316054</v>
      </c>
      <c r="C138" s="22">
        <v>0.013871166333976798</v>
      </c>
      <c r="D138" s="22">
        <v>0.08084689100192453</v>
      </c>
      <c r="E138" s="22">
        <v>0.07531391054235208</v>
      </c>
      <c r="F138" s="22">
        <v>0.058923291161456864</v>
      </c>
      <c r="G138" s="22">
        <v>0.05556459397023943</v>
      </c>
      <c r="H138" s="22">
        <v>0.05245499737783001</v>
      </c>
      <c r="I138" s="22">
        <v>0.04960728778055823</v>
      </c>
      <c r="J138" s="22">
        <v>0.047126923391530316</v>
      </c>
    </row>
    <row r="139" ht="15.75" customHeight="1">
      <c r="A139" s="14" t="s">
        <v>89</v>
      </c>
      <c r="B139" s="22">
        <v>0.2640375967703786</v>
      </c>
      <c r="C139" s="22">
        <v>0.121497481964987</v>
      </c>
      <c r="D139" s="22">
        <v>0.05909371296073273</v>
      </c>
      <c r="E139" s="22">
        <v>0.06519709957128934</v>
      </c>
      <c r="F139" s="22">
        <v>0.07186393641376133</v>
      </c>
      <c r="G139" s="22">
        <v>0.09418175732671463</v>
      </c>
      <c r="H139" s="22">
        <v>0.09555773978057808</v>
      </c>
      <c r="I139" s="22">
        <v>0.09738313177689328</v>
      </c>
      <c r="J139" s="22">
        <v>0.09981771007131561</v>
      </c>
    </row>
    <row r="140" ht="15.75" customHeight="1">
      <c r="A140" s="14" t="s">
        <v>25</v>
      </c>
      <c r="B140" s="22">
        <v>0.06282540489533409</v>
      </c>
      <c r="C140" s="22">
        <v>0.0214525513892916</v>
      </c>
      <c r="D140" s="22">
        <v>0.0511929882658383</v>
      </c>
      <c r="E140" s="22">
        <v>0.04688582110570724</v>
      </c>
      <c r="F140" s="22">
        <v>0.054078265058747854</v>
      </c>
      <c r="G140" s="22">
        <v>0.05649249607773604</v>
      </c>
      <c r="H140" s="22">
        <v>0.05671261161739465</v>
      </c>
      <c r="I140" s="22">
        <v>0.05528653741283592</v>
      </c>
      <c r="J140" s="22">
        <v>0.05252221054219412</v>
      </c>
    </row>
    <row r="141" ht="15.75" customHeight="1">
      <c r="A141" s="14" t="s">
        <v>35</v>
      </c>
      <c r="B141" s="22">
        <v>0.0721601716412251</v>
      </c>
      <c r="C141" s="22">
        <v>0.04307527884869835</v>
      </c>
      <c r="D141" s="22">
        <v>-0.021547616812622825</v>
      </c>
      <c r="E141" s="22">
        <v>-0.0061926247389820464</v>
      </c>
      <c r="F141" s="22">
        <v>0.001158461449953059</v>
      </c>
      <c r="G141" s="22">
        <v>0.006846553401353004</v>
      </c>
      <c r="H141" s="22">
        <v>0.01080170156132542</v>
      </c>
      <c r="I141" s="22">
        <v>0.011794379279874659</v>
      </c>
      <c r="J141" s="22">
        <v>0.012737929622264632</v>
      </c>
    </row>
    <row r="142" ht="15.75" customHeight="1">
      <c r="A142" s="14" t="s">
        <v>34</v>
      </c>
      <c r="B142" s="22">
        <v>0.10994334903596105</v>
      </c>
      <c r="C142" s="22">
        <v>0.13612686950532757</v>
      </c>
      <c r="D142" s="22">
        <v>-0.011227482074435436</v>
      </c>
      <c r="E142" s="22">
        <v>0.016213038532263614</v>
      </c>
      <c r="F142" s="22">
        <v>0.036619771331776095</v>
      </c>
      <c r="G142" s="22">
        <v>0.03851685948212915</v>
      </c>
      <c r="H142" s="22">
        <v>0.04224780985073215</v>
      </c>
      <c r="I142" s="22">
        <v>0.042726905928762514</v>
      </c>
      <c r="J142" s="22">
        <v>0.04486325122520064</v>
      </c>
    </row>
    <row r="143" ht="15.75" customHeight="1">
      <c r="A143" s="14" t="s">
        <v>66</v>
      </c>
      <c r="B143" s="22">
        <v>0.025528904755117716</v>
      </c>
      <c r="C143" s="22">
        <v>0.03148314769035236</v>
      </c>
      <c r="D143" s="22">
        <v>-0.04735679834472134</v>
      </c>
      <c r="E143" s="22">
        <v>-0.010414944192192422</v>
      </c>
      <c r="F143" s="22">
        <v>0.010393513807643529</v>
      </c>
      <c r="G143" s="22">
        <v>0.023472186089585702</v>
      </c>
      <c r="H143" s="22">
        <v>0.027280944563116468</v>
      </c>
      <c r="I143" s="22">
        <v>0.03180887203682804</v>
      </c>
      <c r="J143" s="22">
        <v>0.03021842843498664</v>
      </c>
    </row>
    <row r="144" ht="15.75" customHeight="1">
      <c r="A144" s="14" t="s">
        <v>20</v>
      </c>
      <c r="B144" s="22">
        <v>1.0323741241692757</v>
      </c>
      <c r="C144" s="22">
        <v>0.5662766645980968</v>
      </c>
      <c r="D144" s="22">
        <v>0.16161944922019333</v>
      </c>
      <c r="E144" s="22">
        <v>0.3346484064803617</v>
      </c>
      <c r="F144" s="22">
        <v>0.36770245018536907</v>
      </c>
      <c r="G144" s="22">
        <v>0.2113497640215626</v>
      </c>
      <c r="H144" s="22">
        <v>0.21506789637445095</v>
      </c>
      <c r="I144" s="22">
        <v>0.1482178795403292</v>
      </c>
      <c r="J144" s="22">
        <v>0.14080698556331273</v>
      </c>
    </row>
    <row r="145" ht="15.75" customHeight="1">
      <c r="A145" s="14" t="s">
        <v>42</v>
      </c>
      <c r="B145" s="22">
        <v>0.2522320503640641</v>
      </c>
      <c r="C145" s="22">
        <v>0.25445853200080354</v>
      </c>
      <c r="D145" s="22">
        <v>0.0579735175266514</v>
      </c>
      <c r="E145" s="22">
        <v>0.05400040642776334</v>
      </c>
      <c r="F145" s="22">
        <v>0.05972541448028715</v>
      </c>
      <c r="G145" s="22">
        <v>0.06293571724537092</v>
      </c>
      <c r="H145" s="22">
        <v>0.06518154576548749</v>
      </c>
      <c r="I145" s="22">
        <v>0.06472422658717088</v>
      </c>
      <c r="J145" s="22">
        <v>0.06796043791652942</v>
      </c>
    </row>
    <row r="146" ht="15.75" customHeight="1">
      <c r="A146" s="4" t="s">
        <v>19</v>
      </c>
      <c r="B146" s="10">
        <v>-0.03308576263260063</v>
      </c>
      <c r="C146" s="10">
        <v>-0.01411641125371811</v>
      </c>
      <c r="D146" s="10">
        <v>0.027243337606236113</v>
      </c>
      <c r="E146" s="10">
        <v>0.036856769941296524</v>
      </c>
      <c r="F146" s="10">
        <v>0.051203199295290366</v>
      </c>
      <c r="G146" s="10">
        <v>0.05921951067274743</v>
      </c>
      <c r="H146" s="10">
        <v>0.06448715852636287</v>
      </c>
      <c r="I146" s="10">
        <v>0.06860022428148857</v>
      </c>
      <c r="J146" s="10">
        <v>0.06174020185333971</v>
      </c>
    </row>
    <row r="147" ht="15.75" customHeight="1"/>
    <row r="148" ht="15.75" customHeight="1">
      <c r="A148" s="17" t="s">
        <v>106</v>
      </c>
      <c r="B148" s="2"/>
      <c r="C148" s="2"/>
      <c r="D148" s="2"/>
      <c r="E148" s="2"/>
      <c r="F148" s="2"/>
      <c r="G148" s="2"/>
      <c r="H148" s="2"/>
      <c r="I148" s="2"/>
      <c r="J148" s="3"/>
    </row>
    <row r="149" ht="15.75" customHeight="1">
      <c r="A149" s="4"/>
      <c r="B149" s="5">
        <v>2020.0</v>
      </c>
      <c r="C149" s="5">
        <v>2021.0</v>
      </c>
      <c r="D149" s="5">
        <v>2022.0</v>
      </c>
      <c r="E149" s="5">
        <v>2023.0</v>
      </c>
      <c r="F149" s="5">
        <v>2024.0</v>
      </c>
      <c r="G149" s="5" t="s">
        <v>2</v>
      </c>
      <c r="H149" s="5" t="s">
        <v>3</v>
      </c>
      <c r="I149" s="5" t="s">
        <v>4</v>
      </c>
      <c r="J149" s="5" t="s">
        <v>5</v>
      </c>
    </row>
    <row r="150" ht="15.75" customHeight="1">
      <c r="A150" s="14" t="s">
        <v>30</v>
      </c>
      <c r="B150" s="32">
        <v>13.032299920287684</v>
      </c>
      <c r="C150" s="32">
        <v>13.945579693676905</v>
      </c>
      <c r="D150" s="32">
        <v>16.60020316442632</v>
      </c>
      <c r="E150" s="32">
        <v>16.855011603090514</v>
      </c>
      <c r="F150" s="32">
        <v>16.627387719421904</v>
      </c>
      <c r="G150" s="32">
        <v>16.453730282077245</v>
      </c>
      <c r="H150" s="32">
        <v>16.49559840809121</v>
      </c>
      <c r="I150" s="32">
        <v>16.698622838848465</v>
      </c>
      <c r="J150" s="32">
        <v>16.914422213204933</v>
      </c>
    </row>
    <row r="151" ht="15.75" customHeight="1">
      <c r="A151" s="14" t="s">
        <v>107</v>
      </c>
      <c r="B151" s="32">
        <v>32.79484133796032</v>
      </c>
      <c r="C151" s="32">
        <v>42.68407043283618</v>
      </c>
      <c r="D151" s="32">
        <v>40.73130831390496</v>
      </c>
      <c r="E151" s="32">
        <v>39.185012699901</v>
      </c>
      <c r="F151" s="32">
        <v>38.00815946680994</v>
      </c>
      <c r="G151" s="32">
        <v>37.14755036714331</v>
      </c>
      <c r="H151" s="32">
        <v>36.55524443683841</v>
      </c>
      <c r="I151" s="32">
        <v>36.19477133469401</v>
      </c>
      <c r="J151" s="32">
        <v>35.891390644737946</v>
      </c>
    </row>
    <row r="152" ht="15.75" customHeight="1">
      <c r="A152" s="14" t="s">
        <v>89</v>
      </c>
      <c r="B152" s="32">
        <v>781.6152514281812</v>
      </c>
      <c r="C152" s="32">
        <v>892.5489580766344</v>
      </c>
      <c r="D152" s="32">
        <v>713.9108601051694</v>
      </c>
      <c r="E152" s="32">
        <v>768.6657461602618</v>
      </c>
      <c r="F152" s="32">
        <v>829.8449043655713</v>
      </c>
      <c r="G152" s="32">
        <v>891.705161196553</v>
      </c>
      <c r="H152" s="32">
        <v>970.9407802865971</v>
      </c>
      <c r="I152" s="30">
        <v>1060.836450125773</v>
      </c>
      <c r="J152" s="30">
        <v>1161.510683138072</v>
      </c>
    </row>
    <row r="153" ht="15.75" customHeight="1">
      <c r="A153" s="14" t="s">
        <v>25</v>
      </c>
      <c r="B153" s="32">
        <v>13.799984236362445</v>
      </c>
      <c r="C153" s="32">
        <v>14.096029107364426</v>
      </c>
      <c r="D153" s="32">
        <v>14.817646960052647</v>
      </c>
      <c r="E153" s="32">
        <v>15.512384504629203</v>
      </c>
      <c r="F153" s="32">
        <v>16.351267345563755</v>
      </c>
      <c r="G153" s="32">
        <v>17.27499125194903</v>
      </c>
      <c r="H153" s="32">
        <v>18.254701121514707</v>
      </c>
      <c r="I153" s="32">
        <v>19.26394033802946</v>
      </c>
      <c r="J153" s="32">
        <v>20.25442433717136</v>
      </c>
    </row>
    <row r="154" ht="15.75" customHeight="1">
      <c r="A154" s="14" t="s">
        <v>26</v>
      </c>
      <c r="B154" s="32">
        <v>200.97301951584862</v>
      </c>
      <c r="C154" s="32">
        <v>219.3889149236499</v>
      </c>
      <c r="D154" s="32">
        <v>216.0407190248272</v>
      </c>
      <c r="E154" s="32">
        <v>214.079162634057</v>
      </c>
      <c r="F154" s="32">
        <v>212.19510383367458</v>
      </c>
      <c r="G154" s="32">
        <v>211.72048435406117</v>
      </c>
      <c r="H154" s="32">
        <v>211.72123804921017</v>
      </c>
      <c r="I154" s="32">
        <v>212.12349960219834</v>
      </c>
      <c r="J154" s="32">
        <v>212.8892486853173</v>
      </c>
    </row>
    <row r="155" ht="15.75" customHeight="1">
      <c r="A155" s="14" t="s">
        <v>22</v>
      </c>
      <c r="B155" s="32">
        <v>343.118430204322</v>
      </c>
      <c r="C155" s="32">
        <v>484.197369317844</v>
      </c>
      <c r="D155" s="32">
        <v>390.65687983396197</v>
      </c>
      <c r="E155" s="32">
        <v>339.94085681213545</v>
      </c>
      <c r="F155" s="32">
        <v>315.50934894230977</v>
      </c>
      <c r="G155" s="32">
        <v>301.07762033730177</v>
      </c>
      <c r="H155" s="32">
        <v>291.37676618264135</v>
      </c>
      <c r="I155" s="32">
        <v>284.45635645861626</v>
      </c>
      <c r="J155" s="32">
        <v>278.3759159863765</v>
      </c>
    </row>
    <row r="156" ht="15.75" customHeight="1">
      <c r="A156" s="14" t="s">
        <v>35</v>
      </c>
      <c r="B156" s="32">
        <v>42.13602449801644</v>
      </c>
      <c r="C156" s="32">
        <v>43.95104550284409</v>
      </c>
      <c r="D156" s="32">
        <v>43.00400521583465</v>
      </c>
      <c r="E156" s="32">
        <v>42.737697549259764</v>
      </c>
      <c r="F156" s="32">
        <v>42.78720752433033</v>
      </c>
      <c r="G156" s="32">
        <v>43.080152425540426</v>
      </c>
      <c r="H156" s="32">
        <v>43.54549137525753</v>
      </c>
      <c r="I156" s="32">
        <v>44.059083416465825</v>
      </c>
      <c r="J156" s="32">
        <v>44.55275047997638</v>
      </c>
    </row>
    <row r="157" ht="15.75" customHeight="1">
      <c r="A157" s="14" t="s">
        <v>20</v>
      </c>
      <c r="B157" s="32">
        <v>108.10447603635649</v>
      </c>
      <c r="C157" s="32">
        <v>153.752397103078</v>
      </c>
      <c r="D157" s="32">
        <v>188.78796817158374</v>
      </c>
      <c r="E157" s="32">
        <v>215.83891296956912</v>
      </c>
      <c r="F157" s="32">
        <v>248.1066845517555</v>
      </c>
      <c r="G157" s="32">
        <v>285.9042796092814</v>
      </c>
      <c r="H157" s="32">
        <v>327.0384483617793</v>
      </c>
      <c r="I157" s="32">
        <v>371.2452466304285</v>
      </c>
      <c r="J157" s="32">
        <v>423.93673290247347</v>
      </c>
    </row>
    <row r="158" ht="15.75" customHeight="1">
      <c r="A158" s="4" t="s">
        <v>67</v>
      </c>
      <c r="B158" s="35">
        <v>14.383586569099108</v>
      </c>
      <c r="C158" s="35">
        <v>15.04523155127767</v>
      </c>
      <c r="D158" s="35">
        <v>16.333632486740647</v>
      </c>
      <c r="E158" s="35">
        <v>17.149508244926622</v>
      </c>
      <c r="F158" s="35">
        <v>17.968081221632517</v>
      </c>
      <c r="G158" s="35">
        <v>18.78757833136317</v>
      </c>
      <c r="H158" s="35">
        <v>19.59224023823031</v>
      </c>
      <c r="I158" s="35">
        <v>20.376230023106622</v>
      </c>
      <c r="J158" s="35">
        <v>21.150823341596684</v>
      </c>
    </row>
    <row r="159" ht="15.75" customHeight="1"/>
    <row r="160" ht="15.75" customHeight="1">
      <c r="A160" s="17" t="s">
        <v>108</v>
      </c>
      <c r="B160" s="2"/>
      <c r="C160" s="2"/>
      <c r="D160" s="2"/>
      <c r="E160" s="2"/>
      <c r="F160" s="2"/>
      <c r="G160" s="2"/>
      <c r="H160" s="2"/>
      <c r="I160" s="2"/>
      <c r="J160" s="3"/>
    </row>
    <row r="161" ht="15.75" customHeight="1">
      <c r="A161" s="4"/>
      <c r="B161" s="5">
        <v>2020.0</v>
      </c>
      <c r="C161" s="5">
        <v>2021.0</v>
      </c>
      <c r="D161" s="5">
        <v>2022.0</v>
      </c>
      <c r="E161" s="5">
        <v>2023.0</v>
      </c>
      <c r="F161" s="5">
        <v>2024.0</v>
      </c>
      <c r="G161" s="5" t="s">
        <v>2</v>
      </c>
      <c r="H161" s="5" t="s">
        <v>3</v>
      </c>
      <c r="I161" s="5" t="s">
        <v>4</v>
      </c>
      <c r="J161" s="5" t="s">
        <v>5</v>
      </c>
    </row>
    <row r="162" ht="15.75" customHeight="1">
      <c r="A162" s="14" t="s">
        <v>30</v>
      </c>
      <c r="B162" s="22">
        <v>0.09742880384872439</v>
      </c>
      <c r="C162" s="22">
        <v>0.07007817338269637</v>
      </c>
      <c r="D162" s="22">
        <v>0.19035590696549187</v>
      </c>
      <c r="E162" s="22">
        <v>0.015349718081176338</v>
      </c>
      <c r="F162" s="22">
        <v>-0.013504819161730682</v>
      </c>
      <c r="G162" s="22">
        <v>-0.010444060141919655</v>
      </c>
      <c r="H162" s="22">
        <v>0.0025445978082898678</v>
      </c>
      <c r="I162" s="22">
        <v>0.012307794220891562</v>
      </c>
      <c r="J162" s="22">
        <v>0.01292318393193614</v>
      </c>
    </row>
    <row r="163" ht="15.75" customHeight="1">
      <c r="A163" s="14" t="s">
        <v>107</v>
      </c>
      <c r="B163" s="22">
        <v>0.30539696564364205</v>
      </c>
      <c r="C163" s="22">
        <v>0.30154831343638755</v>
      </c>
      <c r="D163" s="22">
        <v>-0.04574920102814256</v>
      </c>
      <c r="E163" s="22">
        <v>-0.037963318096415795</v>
      </c>
      <c r="F163" s="22">
        <v>-0.030033248734765167</v>
      </c>
      <c r="G163" s="22">
        <v>-0.022642745971904965</v>
      </c>
      <c r="H163" s="22">
        <v>-0.015944683416562307</v>
      </c>
      <c r="I163" s="22">
        <v>-0.009861050245943134</v>
      </c>
      <c r="J163" s="22">
        <v>-0.008381892709051663</v>
      </c>
    </row>
    <row r="164" ht="15.75" customHeight="1">
      <c r="A164" s="14" t="s">
        <v>89</v>
      </c>
      <c r="B164" s="22">
        <v>0.5069126308335359</v>
      </c>
      <c r="C164" s="22">
        <v>0.1419287897028023</v>
      </c>
      <c r="D164" s="22">
        <v>-0.20014375273756935</v>
      </c>
      <c r="E164" s="22">
        <v>0.07669709079229624</v>
      </c>
      <c r="F164" s="22">
        <v>0.07959136791371216</v>
      </c>
      <c r="G164" s="22">
        <v>0.0745443594406051</v>
      </c>
      <c r="H164" s="22">
        <v>0.0888585403988468</v>
      </c>
      <c r="I164" s="22">
        <v>0.09258615114779793</v>
      </c>
      <c r="J164" s="22">
        <v>0.09490080492649287</v>
      </c>
    </row>
    <row r="165" ht="15.75" customHeight="1">
      <c r="A165" s="14" t="s">
        <v>25</v>
      </c>
      <c r="B165" s="22">
        <v>0.06282540489533392</v>
      </c>
      <c r="C165" s="22">
        <v>0.021452551389291783</v>
      </c>
      <c r="D165" s="22">
        <v>0.05119298826583819</v>
      </c>
      <c r="E165" s="22">
        <v>0.04688582110570731</v>
      </c>
      <c r="F165" s="22">
        <v>0.054078265058747924</v>
      </c>
      <c r="G165" s="22">
        <v>0.05649249607773601</v>
      </c>
      <c r="H165" s="22">
        <v>0.05671261161739479</v>
      </c>
      <c r="I165" s="22">
        <v>0.05528653741283554</v>
      </c>
      <c r="J165" s="22">
        <v>0.051416479793937056</v>
      </c>
    </row>
    <row r="166" ht="15.75" customHeight="1">
      <c r="A166" s="14" t="s">
        <v>26</v>
      </c>
      <c r="B166" s="22">
        <v>0.4457995383440174</v>
      </c>
      <c r="C166" s="22">
        <v>0.09163367029149412</v>
      </c>
      <c r="D166" s="22">
        <v>-0.01526146341526831</v>
      </c>
      <c r="E166" s="22">
        <v>-0.00907956796118966</v>
      </c>
      <c r="F166" s="22">
        <v>-0.008800757519791915</v>
      </c>
      <c r="G166" s="22">
        <v>-0.002236712681106117</v>
      </c>
      <c r="H166" s="22">
        <v>3.559859365051444E-6</v>
      </c>
      <c r="I166" s="22">
        <v>0.00189995843919384</v>
      </c>
      <c r="J166" s="22">
        <v>0.0036099210344682957</v>
      </c>
    </row>
    <row r="167" ht="15.75" customHeight="1">
      <c r="A167" s="14" t="s">
        <v>22</v>
      </c>
      <c r="B167" s="22">
        <v>1.310085383513413</v>
      </c>
      <c r="C167" s="22">
        <v>0.4111668936859834</v>
      </c>
      <c r="D167" s="22">
        <v>-0.19318669495388935</v>
      </c>
      <c r="E167" s="22">
        <v>-0.12982242381954714</v>
      </c>
      <c r="F167" s="22">
        <v>-0.07186987789269321</v>
      </c>
      <c r="G167" s="22">
        <v>-0.04574104904779483</v>
      </c>
      <c r="H167" s="22">
        <v>-0.03222044250181202</v>
      </c>
      <c r="I167" s="22">
        <v>-0.023750725957632557</v>
      </c>
      <c r="J167" s="22">
        <v>-0.021375653361869303</v>
      </c>
    </row>
    <row r="168" ht="15.75" customHeight="1">
      <c r="A168" s="14" t="s">
        <v>35</v>
      </c>
      <c r="B168" s="22">
        <v>0.07216017164122501</v>
      </c>
      <c r="C168" s="22">
        <v>0.043075278848698495</v>
      </c>
      <c r="D168" s="22">
        <v>-0.02154761681262287</v>
      </c>
      <c r="E168" s="22">
        <v>-0.0061926247389820065</v>
      </c>
      <c r="F168" s="22">
        <v>0.0011584614499528874</v>
      </c>
      <c r="G168" s="22">
        <v>0.006846553401352962</v>
      </c>
      <c r="H168" s="22">
        <v>0.0108017015613255</v>
      </c>
      <c r="I168" s="22">
        <v>0.011794379279874662</v>
      </c>
      <c r="J168" s="22">
        <v>0.011204660315880929</v>
      </c>
    </row>
    <row r="169" ht="15.75" customHeight="1">
      <c r="A169" s="14" t="s">
        <v>20</v>
      </c>
      <c r="B169" s="22">
        <v>0.8121802909391695</v>
      </c>
      <c r="C169" s="22">
        <v>0.4222574563089296</v>
      </c>
      <c r="D169" s="22">
        <v>0.22787008026299152</v>
      </c>
      <c r="E169" s="22">
        <v>0.1432874407197369</v>
      </c>
      <c r="F169" s="22">
        <v>0.14949932400157973</v>
      </c>
      <c r="G169" s="22">
        <v>0.15234412214976512</v>
      </c>
      <c r="H169" s="22">
        <v>0.1438739175527981</v>
      </c>
      <c r="I169" s="22">
        <v>0.13517309200215624</v>
      </c>
      <c r="J169" s="22">
        <v>0.14193174660226407</v>
      </c>
    </row>
    <row r="170" ht="15.75" customHeight="1">
      <c r="A170" s="4" t="s">
        <v>67</v>
      </c>
      <c r="B170" s="10">
        <v>-0.08763398297625753</v>
      </c>
      <c r="C170" s="10">
        <v>0.04600000000000017</v>
      </c>
      <c r="D170" s="10">
        <v>0.08563516826389847</v>
      </c>
      <c r="E170" s="10">
        <v>0.049950662159705624</v>
      </c>
      <c r="F170" s="10">
        <v>0.04773157136724633</v>
      </c>
      <c r="G170" s="10">
        <v>0.045608493173106786</v>
      </c>
      <c r="H170" s="10">
        <v>0.042829463844409964</v>
      </c>
      <c r="I170" s="10">
        <v>0.040015321134461865</v>
      </c>
      <c r="J170" s="10">
        <v>0.03801455507773877</v>
      </c>
    </row>
    <row r="171" ht="15.75" customHeight="1"/>
    <row r="172" ht="15.75" customHeight="1"/>
    <row r="173" ht="15.75" customHeight="1">
      <c r="A173" s="26" t="s">
        <v>109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80:J80"/>
    <mergeCell ref="A92:J92"/>
    <mergeCell ref="A104:J104"/>
    <mergeCell ref="A113:J113"/>
    <mergeCell ref="A122:J122"/>
    <mergeCell ref="A135:J135"/>
    <mergeCell ref="A148:J148"/>
    <mergeCell ref="A160:J160"/>
    <mergeCell ref="A1:B1"/>
    <mergeCell ref="A16:J16"/>
    <mergeCell ref="A29:J29"/>
    <mergeCell ref="A42:J42"/>
    <mergeCell ref="A52:J52"/>
    <mergeCell ref="A62:J62"/>
    <mergeCell ref="A71:J71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0" width="8.43"/>
  </cols>
  <sheetData>
    <row r="1">
      <c r="A1" s="17" t="s">
        <v>110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5" t="s">
        <v>2</v>
      </c>
      <c r="H2" s="5" t="s">
        <v>3</v>
      </c>
      <c r="I2" s="5" t="s">
        <v>4</v>
      </c>
      <c r="J2" s="5" t="s">
        <v>5</v>
      </c>
    </row>
    <row r="3">
      <c r="A3" s="14" t="s">
        <v>111</v>
      </c>
      <c r="B3" s="11">
        <v>1019.0208531818002</v>
      </c>
      <c r="C3" s="11">
        <v>1110.699777891508</v>
      </c>
      <c r="D3" s="11">
        <v>1165.5988684457466</v>
      </c>
      <c r="E3" s="11">
        <v>1238.1830323065872</v>
      </c>
      <c r="F3" s="11">
        <v>1329.7994811549102</v>
      </c>
      <c r="G3" s="11">
        <v>1439.038203649408</v>
      </c>
      <c r="H3" s="11">
        <v>1565.221829053456</v>
      </c>
      <c r="I3" s="11">
        <v>1705.163853323517</v>
      </c>
      <c r="J3" s="11">
        <v>1860.7388792028653</v>
      </c>
    </row>
    <row r="4">
      <c r="A4" s="4" t="s">
        <v>112</v>
      </c>
      <c r="B4" s="10">
        <v>0.12630513363426393</v>
      </c>
      <c r="C4" s="10">
        <v>0.08996766300066236</v>
      </c>
      <c r="D4" s="10">
        <v>0.04942747954668374</v>
      </c>
      <c r="E4" s="10">
        <v>0.06227199238587718</v>
      </c>
      <c r="F4" s="10">
        <v>0.0739926541212994</v>
      </c>
      <c r="G4" s="10">
        <v>0.08214676275826611</v>
      </c>
      <c r="H4" s="10">
        <v>0.08768608441669294</v>
      </c>
      <c r="I4" s="10">
        <v>0.08940715090505016</v>
      </c>
      <c r="J4" s="10">
        <v>0.0912375814066892</v>
      </c>
    </row>
    <row r="5">
      <c r="A5" s="14" t="s">
        <v>113</v>
      </c>
      <c r="B5" s="11">
        <v>11168.45050043851</v>
      </c>
      <c r="C5" s="11">
        <v>12240.53746514293</v>
      </c>
      <c r="D5" s="11">
        <v>12017.792037182026</v>
      </c>
      <c r="E5" s="11">
        <v>12550.815459168629</v>
      </c>
      <c r="F5" s="11">
        <v>13231.264348824676</v>
      </c>
      <c r="G5" s="11">
        <v>14033.860366057303</v>
      </c>
      <c r="H5" s="11">
        <v>14940.996005106339</v>
      </c>
      <c r="I5" s="11">
        <v>15937.954437460405</v>
      </c>
      <c r="J5" s="11">
        <v>17036.089779102047</v>
      </c>
    </row>
    <row r="6">
      <c r="A6" s="4" t="s">
        <v>9</v>
      </c>
      <c r="B6" s="10">
        <v>0.17197402940171277</v>
      </c>
      <c r="C6" s="10">
        <v>0.09599245344395146</v>
      </c>
      <c r="D6" s="10">
        <v>-0.01819735682319597</v>
      </c>
      <c r="E6" s="10">
        <v>0.04435285785753941</v>
      </c>
      <c r="F6" s="10">
        <v>0.054215512280436334</v>
      </c>
      <c r="G6" s="10">
        <v>0.060659056918012585</v>
      </c>
      <c r="H6" s="10">
        <v>0.06463906689873164</v>
      </c>
      <c r="I6" s="10">
        <v>0.06672637031783814</v>
      </c>
      <c r="J6" s="10">
        <v>0.06890064505772436</v>
      </c>
    </row>
    <row r="7">
      <c r="A7" s="12" t="s">
        <v>114</v>
      </c>
      <c r="B7" s="22">
        <v>0.09124102337578432</v>
      </c>
      <c r="C7" s="22">
        <v>0.09073946148642735</v>
      </c>
      <c r="D7" s="22">
        <v>0.09698943573324309</v>
      </c>
      <c r="E7" s="22">
        <v>0.0986535923769056</v>
      </c>
      <c r="F7" s="22">
        <v>0.1005043392752587</v>
      </c>
      <c r="G7" s="22">
        <v>0.10254043906051018</v>
      </c>
      <c r="H7" s="22">
        <v>0.10476020665011322</v>
      </c>
      <c r="I7" s="22">
        <v>0.10698762253427689</v>
      </c>
      <c r="J7" s="22">
        <v>0.10922335485020805</v>
      </c>
    </row>
    <row r="9">
      <c r="A9" s="17" t="s">
        <v>115</v>
      </c>
      <c r="B9" s="2"/>
      <c r="C9" s="2"/>
      <c r="D9" s="2"/>
      <c r="E9" s="2"/>
      <c r="F9" s="2"/>
      <c r="G9" s="2"/>
      <c r="H9" s="2"/>
      <c r="I9" s="2"/>
      <c r="J9" s="3"/>
    </row>
    <row r="10">
      <c r="A10" s="4"/>
      <c r="B10" s="5">
        <v>2020.0</v>
      </c>
      <c r="C10" s="5">
        <v>2021.0</v>
      </c>
      <c r="D10" s="5">
        <v>2022.0</v>
      </c>
      <c r="E10" s="5">
        <v>2023.0</v>
      </c>
      <c r="F10" s="5">
        <v>2024.0</v>
      </c>
      <c r="G10" s="5" t="s">
        <v>2</v>
      </c>
      <c r="H10" s="5" t="s">
        <v>3</v>
      </c>
      <c r="I10" s="5" t="s">
        <v>4</v>
      </c>
      <c r="J10" s="5" t="s">
        <v>5</v>
      </c>
    </row>
    <row r="11">
      <c r="A11" s="14" t="s">
        <v>19</v>
      </c>
      <c r="B11" s="19">
        <v>447.6745531712589</v>
      </c>
      <c r="C11" s="19">
        <v>448.90776625071936</v>
      </c>
      <c r="D11" s="19">
        <v>461.49694324892516</v>
      </c>
      <c r="E11" s="19">
        <v>479.01182981815816</v>
      </c>
      <c r="F11" s="19">
        <v>503.52196429373305</v>
      </c>
      <c r="G11" s="19">
        <v>533.425872866912</v>
      </c>
      <c r="H11" s="19">
        <v>567.7663455637984</v>
      </c>
      <c r="I11" s="19">
        <v>606.5595454427298</v>
      </c>
      <c r="J11" s="19">
        <v>650.2954666517272</v>
      </c>
    </row>
    <row r="12">
      <c r="A12" s="4" t="s">
        <v>116</v>
      </c>
      <c r="B12" s="10">
        <v>-0.014289582644850807</v>
      </c>
      <c r="C12" s="10">
        <v>0.002754708907898804</v>
      </c>
      <c r="D12" s="10">
        <v>0.028044016933257115</v>
      </c>
      <c r="E12" s="10">
        <v>0.037952334951405535</v>
      </c>
      <c r="F12" s="10">
        <v>0.05116811934452515</v>
      </c>
      <c r="G12" s="10">
        <v>0.059389481877168436</v>
      </c>
      <c r="H12" s="10">
        <v>0.064377216111252</v>
      </c>
      <c r="I12" s="10">
        <v>0.06832599392697246</v>
      </c>
      <c r="J12" s="10">
        <v>0.07210490962939907</v>
      </c>
    </row>
    <row r="13">
      <c r="A13" s="14" t="s">
        <v>113</v>
      </c>
      <c r="B13" s="11">
        <v>11168.45050043851</v>
      </c>
      <c r="C13" s="43">
        <v>12240.53746514293</v>
      </c>
      <c r="D13" s="43">
        <v>12017.792037182026</v>
      </c>
      <c r="E13" s="43">
        <v>12550.815459168629</v>
      </c>
      <c r="F13" s="43">
        <v>13231.264348824676</v>
      </c>
      <c r="G13" s="43">
        <v>14033.860366057303</v>
      </c>
      <c r="H13" s="43">
        <v>14940.996005106339</v>
      </c>
      <c r="I13" s="43">
        <v>15937.954437460405</v>
      </c>
      <c r="J13" s="43">
        <v>17036.089779102047</v>
      </c>
    </row>
    <row r="14">
      <c r="A14" s="4" t="s">
        <v>9</v>
      </c>
      <c r="B14" s="10">
        <v>0.17197402940171277</v>
      </c>
      <c r="C14" s="10">
        <v>0.09599245344395146</v>
      </c>
      <c r="D14" s="10">
        <v>-0.01819735682319597</v>
      </c>
      <c r="E14" s="10">
        <v>0.04435285785753941</v>
      </c>
      <c r="F14" s="10">
        <v>0.054215512280436334</v>
      </c>
      <c r="G14" s="10">
        <v>0.060659056918012585</v>
      </c>
      <c r="H14" s="10">
        <v>0.06463906689873164</v>
      </c>
      <c r="I14" s="10">
        <v>0.06672637031783814</v>
      </c>
      <c r="J14" s="10">
        <v>0.06890064505772436</v>
      </c>
    </row>
    <row r="15">
      <c r="A15" s="12" t="s">
        <v>117</v>
      </c>
      <c r="B15" s="22">
        <v>0.040083855245065705</v>
      </c>
      <c r="C15" s="22">
        <v>0.03667386072948697</v>
      </c>
      <c r="D15" s="22">
        <v>0.038401142391305564</v>
      </c>
      <c r="E15" s="22">
        <v>0.03816579340015952</v>
      </c>
      <c r="F15" s="22">
        <v>0.03805546854926684</v>
      </c>
      <c r="G15" s="22">
        <v>0.038009917367930426</v>
      </c>
      <c r="H15" s="22">
        <v>0.03800056872846727</v>
      </c>
      <c r="I15" s="22">
        <v>0.03805755298290215</v>
      </c>
      <c r="J15" s="22">
        <v>0.038171638861015884</v>
      </c>
    </row>
    <row r="16"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7" t="s">
        <v>118</v>
      </c>
      <c r="B17" s="3"/>
      <c r="C17" s="11"/>
      <c r="D17" s="11"/>
      <c r="E17" s="11"/>
      <c r="F17" s="11"/>
      <c r="G17" s="11"/>
      <c r="H17" s="11"/>
      <c r="I17" s="11"/>
      <c r="J17" s="11"/>
    </row>
    <row r="18">
      <c r="A18" s="44"/>
      <c r="B18" s="5">
        <v>2024.0</v>
      </c>
    </row>
    <row r="19">
      <c r="A19" s="18" t="s">
        <v>119</v>
      </c>
      <c r="B19" s="39">
        <v>0.2602236979751493</v>
      </c>
    </row>
    <row r="20">
      <c r="A20" s="14" t="s">
        <v>120</v>
      </c>
      <c r="B20" s="22">
        <v>0.2909052538913889</v>
      </c>
    </row>
    <row r="21" ht="15.75" customHeight="1">
      <c r="A21" s="4" t="s">
        <v>121</v>
      </c>
      <c r="B21" s="10">
        <v>0.4488710481334619</v>
      </c>
    </row>
    <row r="22" ht="15.75" customHeight="1">
      <c r="A22" s="24" t="s">
        <v>74</v>
      </c>
      <c r="B22" s="25">
        <v>1.0</v>
      </c>
    </row>
    <row r="23" ht="15.75" customHeight="1"/>
    <row r="24" ht="15.75" customHeight="1">
      <c r="A24" s="17" t="s">
        <v>122</v>
      </c>
      <c r="B24" s="3"/>
    </row>
    <row r="25" ht="15.75" customHeight="1">
      <c r="A25" s="22" t="s">
        <v>123</v>
      </c>
      <c r="B25" s="22">
        <v>0.4934111841802944</v>
      </c>
    </row>
    <row r="26" ht="15.75" customHeight="1">
      <c r="A26" s="14" t="s">
        <v>84</v>
      </c>
      <c r="B26" s="22">
        <v>0.2268701429205227</v>
      </c>
    </row>
    <row r="27" ht="15.75" customHeight="1">
      <c r="A27" s="14" t="s">
        <v>124</v>
      </c>
      <c r="B27" s="22">
        <v>0.0669794479841418</v>
      </c>
    </row>
    <row r="28" ht="15.75" customHeight="1">
      <c r="A28" s="14" t="s">
        <v>77</v>
      </c>
      <c r="B28" s="22">
        <v>0.06814247576476053</v>
      </c>
    </row>
    <row r="29" ht="15.75" customHeight="1">
      <c r="A29" s="14" t="s">
        <v>125</v>
      </c>
      <c r="B29" s="22">
        <v>0.06097598717614352</v>
      </c>
    </row>
    <row r="30" ht="15.75" customHeight="1">
      <c r="A30" s="4" t="s">
        <v>86</v>
      </c>
      <c r="B30" s="10">
        <v>0.0836207619741371</v>
      </c>
    </row>
    <row r="31" ht="15.75" customHeight="1">
      <c r="A31" s="24" t="s">
        <v>74</v>
      </c>
      <c r="B31" s="25">
        <v>1.0</v>
      </c>
    </row>
    <row r="32" ht="15.75" customHeight="1"/>
    <row r="33" ht="15.75" customHeight="1"/>
    <row r="34" ht="15.75" customHeight="1">
      <c r="A34" s="17" t="s">
        <v>126</v>
      </c>
      <c r="B34" s="2"/>
      <c r="C34" s="2"/>
      <c r="D34" s="2"/>
      <c r="E34" s="2"/>
      <c r="F34" s="2"/>
      <c r="G34" s="2"/>
      <c r="H34" s="2"/>
      <c r="I34" s="2"/>
      <c r="J34" s="3"/>
    </row>
    <row r="35" ht="15.75" customHeight="1">
      <c r="A35" s="4"/>
      <c r="B35" s="5">
        <v>2020.0</v>
      </c>
      <c r="C35" s="5">
        <v>2021.0</v>
      </c>
      <c r="D35" s="5">
        <v>2022.0</v>
      </c>
      <c r="E35" s="5">
        <v>2023.0</v>
      </c>
      <c r="F35" s="5">
        <v>2024.0</v>
      </c>
      <c r="G35" s="5" t="s">
        <v>2</v>
      </c>
      <c r="H35" s="5" t="s">
        <v>3</v>
      </c>
      <c r="I35" s="5" t="s">
        <v>4</v>
      </c>
      <c r="J35" s="5" t="s">
        <v>5</v>
      </c>
    </row>
    <row r="36" ht="15.75" customHeight="1">
      <c r="A36" s="14" t="s">
        <v>21</v>
      </c>
      <c r="B36" s="19">
        <v>197.69043806034637</v>
      </c>
      <c r="C36" s="19">
        <v>250.62948770571458</v>
      </c>
      <c r="D36" s="19">
        <v>303.73432627144604</v>
      </c>
      <c r="E36" s="19">
        <v>349.532925682436</v>
      </c>
      <c r="F36" s="19">
        <v>401.669446179532</v>
      </c>
      <c r="G36" s="19">
        <v>462.08417371732736</v>
      </c>
      <c r="H36" s="19">
        <v>531.3447128555936</v>
      </c>
      <c r="I36" s="19">
        <v>607.2311565697826</v>
      </c>
      <c r="J36" s="19">
        <v>690.9506438176722</v>
      </c>
    </row>
    <row r="37" ht="15.75" customHeight="1">
      <c r="A37" s="4" t="s">
        <v>127</v>
      </c>
      <c r="B37" s="10">
        <v>0.504207251743172</v>
      </c>
      <c r="C37" s="10">
        <v>0.26778760857016365</v>
      </c>
      <c r="D37" s="10">
        <v>0.21188583614744633</v>
      </c>
      <c r="E37" s="10">
        <v>0.15078506263417923</v>
      </c>
      <c r="F37" s="10">
        <v>0.1491605415864711</v>
      </c>
      <c r="G37" s="10">
        <v>0.15040906922950742</v>
      </c>
      <c r="H37" s="10">
        <v>0.14988727828760318</v>
      </c>
      <c r="I37" s="10">
        <v>0.14281960820943196</v>
      </c>
      <c r="J37" s="10">
        <v>0.13787086901274423</v>
      </c>
    </row>
    <row r="38" ht="15.75" customHeight="1">
      <c r="A38" s="14" t="s">
        <v>113</v>
      </c>
      <c r="B38" s="11">
        <v>11168.45050043851</v>
      </c>
      <c r="C38" s="11">
        <v>12240.53746514293</v>
      </c>
      <c r="D38" s="11">
        <v>12017.792037182026</v>
      </c>
      <c r="E38" s="11">
        <v>12550.815459168629</v>
      </c>
      <c r="F38" s="11">
        <v>13231.264348824676</v>
      </c>
      <c r="G38" s="11">
        <v>14033.860366057303</v>
      </c>
      <c r="H38" s="11">
        <v>14940.996005106339</v>
      </c>
      <c r="I38" s="11">
        <v>15937.954437460405</v>
      </c>
      <c r="J38" s="11">
        <v>17036.089779102047</v>
      </c>
    </row>
    <row r="39" ht="15.75" customHeight="1">
      <c r="A39" s="4" t="s">
        <v>128</v>
      </c>
      <c r="B39" s="10">
        <v>0.17197402940171277</v>
      </c>
      <c r="C39" s="10">
        <v>0.09599245344395146</v>
      </c>
      <c r="D39" s="10">
        <v>-0.01819735682319597</v>
      </c>
      <c r="E39" s="10">
        <v>0.04435285785753941</v>
      </c>
      <c r="F39" s="10">
        <v>0.054215512280436334</v>
      </c>
      <c r="G39" s="10">
        <v>0.060659056918012585</v>
      </c>
      <c r="H39" s="10">
        <v>0.06463906689873164</v>
      </c>
      <c r="I39" s="10">
        <v>0.06672637031783814</v>
      </c>
      <c r="J39" s="10">
        <v>0.06890064505772436</v>
      </c>
    </row>
    <row r="40" ht="15.75" customHeight="1">
      <c r="A40" s="12" t="s">
        <v>129</v>
      </c>
      <c r="B40" s="22">
        <v>0.01770079368239886</v>
      </c>
      <c r="C40" s="22">
        <v>0.02047536625082239</v>
      </c>
      <c r="D40" s="22">
        <v>0.025273721273568212</v>
      </c>
      <c r="E40" s="22">
        <v>0.027849419571147862</v>
      </c>
      <c r="F40" s="22">
        <v>0.030357601177790086</v>
      </c>
      <c r="G40" s="22">
        <v>0.032926376753394056</v>
      </c>
      <c r="H40" s="22">
        <v>0.03556287095411829</v>
      </c>
      <c r="I40" s="22">
        <v>0.03809969208737055</v>
      </c>
      <c r="J40" s="22">
        <v>0.040558053683495646</v>
      </c>
    </row>
    <row r="41" ht="15.75" customHeight="1"/>
    <row r="42" ht="15.75" customHeight="1">
      <c r="A42" s="17" t="s">
        <v>130</v>
      </c>
      <c r="B42" s="3"/>
    </row>
    <row r="43" ht="15.75" customHeight="1">
      <c r="A43" s="14" t="s">
        <v>131</v>
      </c>
      <c r="B43" s="22">
        <v>0.2131831606090688</v>
      </c>
    </row>
    <row r="44" ht="15.75" customHeight="1">
      <c r="A44" s="14" t="s">
        <v>132</v>
      </c>
      <c r="B44" s="22">
        <v>0.3121973370611623</v>
      </c>
    </row>
    <row r="45" ht="15.75" customHeight="1">
      <c r="A45" s="4" t="s">
        <v>133</v>
      </c>
      <c r="B45" s="10">
        <v>0.4746195023297689</v>
      </c>
    </row>
    <row r="46" ht="15.75" customHeight="1">
      <c r="A46" s="24" t="s">
        <v>74</v>
      </c>
      <c r="B46" s="25">
        <v>1.0</v>
      </c>
    </row>
    <row r="47" ht="15.75" customHeight="1"/>
    <row r="48" ht="15.75" customHeight="1">
      <c r="A48" s="17" t="s">
        <v>134</v>
      </c>
      <c r="B48" s="3"/>
    </row>
    <row r="49" ht="15.75" customHeight="1">
      <c r="A49" s="14" t="s">
        <v>81</v>
      </c>
      <c r="B49" s="22">
        <v>0.7734575372551644</v>
      </c>
    </row>
    <row r="50" ht="15.75" customHeight="1">
      <c r="A50" s="14" t="s">
        <v>78</v>
      </c>
      <c r="B50" s="22">
        <v>0.08019543066622506</v>
      </c>
    </row>
    <row r="51" ht="15.75" customHeight="1">
      <c r="A51" s="14" t="s">
        <v>80</v>
      </c>
      <c r="B51" s="22">
        <v>0.045062149121021355</v>
      </c>
    </row>
    <row r="52" ht="15.75" customHeight="1">
      <c r="A52" s="14" t="s">
        <v>135</v>
      </c>
      <c r="B52" s="22">
        <v>0.012573573601343521</v>
      </c>
    </row>
    <row r="53" ht="15.75" customHeight="1">
      <c r="A53" s="4" t="s">
        <v>86</v>
      </c>
      <c r="B53" s="10">
        <v>0.0887113093562455</v>
      </c>
    </row>
    <row r="54" ht="15.75" customHeight="1">
      <c r="A54" s="24" t="s">
        <v>74</v>
      </c>
      <c r="B54" s="25">
        <v>0.9999999999999998</v>
      </c>
    </row>
    <row r="55" ht="15.75" customHeight="1"/>
    <row r="56" ht="15.75" customHeight="1">
      <c r="A56" s="17" t="s">
        <v>136</v>
      </c>
      <c r="B56" s="2"/>
      <c r="C56" s="2"/>
      <c r="D56" s="2"/>
      <c r="E56" s="2"/>
      <c r="F56" s="2"/>
      <c r="G56" s="2"/>
      <c r="H56" s="2"/>
      <c r="I56" s="2"/>
      <c r="J56" s="3"/>
    </row>
    <row r="57" ht="15.75" customHeight="1">
      <c r="A57" s="4"/>
      <c r="B57" s="5">
        <v>2020.0</v>
      </c>
      <c r="C57" s="5">
        <v>2021.0</v>
      </c>
      <c r="D57" s="5">
        <v>2022.0</v>
      </c>
      <c r="E57" s="5">
        <v>2023.0</v>
      </c>
      <c r="F57" s="5">
        <v>2024.0</v>
      </c>
      <c r="G57" s="5" t="s">
        <v>2</v>
      </c>
      <c r="H57" s="5" t="s">
        <v>3</v>
      </c>
      <c r="I57" s="5" t="s">
        <v>4</v>
      </c>
      <c r="J57" s="5" t="s">
        <v>5</v>
      </c>
    </row>
    <row r="58" ht="15.75" customHeight="1">
      <c r="A58" s="14" t="s">
        <v>97</v>
      </c>
      <c r="B58" s="45" t="s">
        <v>96</v>
      </c>
      <c r="C58" s="45" t="s">
        <v>96</v>
      </c>
      <c r="D58" s="19">
        <v>14.421046445000002</v>
      </c>
      <c r="E58" s="19">
        <v>20.41539468622</v>
      </c>
      <c r="F58" s="19">
        <v>26.049272662819693</v>
      </c>
      <c r="G58" s="19">
        <v>32.1850631895538</v>
      </c>
      <c r="H58" s="19">
        <v>38.524145552542834</v>
      </c>
      <c r="I58" s="19">
        <v>44.88064714991533</v>
      </c>
      <c r="J58" s="19">
        <v>51.0988885061184</v>
      </c>
    </row>
    <row r="59" ht="15.75" customHeight="1">
      <c r="A59" s="14" t="s">
        <v>47</v>
      </c>
      <c r="B59" s="19">
        <v>87.68953141821854</v>
      </c>
      <c r="C59" s="19">
        <v>104.60715518909556</v>
      </c>
      <c r="D59" s="19">
        <v>65.89601413866205</v>
      </c>
      <c r="E59" s="19">
        <v>66.87190036543315</v>
      </c>
      <c r="F59" s="19">
        <v>68.80526484690004</v>
      </c>
      <c r="G59" s="19">
        <v>71.4273748572039</v>
      </c>
      <c r="H59" s="19">
        <v>74.56330783303227</v>
      </c>
      <c r="I59" s="19">
        <v>78.27127815997558</v>
      </c>
      <c r="J59" s="19">
        <v>82.67982805149308</v>
      </c>
    </row>
    <row r="60" ht="15.75" customHeight="1">
      <c r="A60" s="14" t="s">
        <v>137</v>
      </c>
      <c r="B60" s="45" t="s">
        <v>96</v>
      </c>
      <c r="C60" s="45" t="s">
        <v>96</v>
      </c>
      <c r="D60" s="19">
        <v>13.661579</v>
      </c>
      <c r="E60" s="19">
        <v>14.073475620499998</v>
      </c>
      <c r="F60" s="19">
        <v>14.456848001530123</v>
      </c>
      <c r="G60" s="19">
        <v>14.883021628338795</v>
      </c>
      <c r="H60" s="19">
        <v>15.359189364776107</v>
      </c>
      <c r="I60" s="19">
        <v>15.892808980721437</v>
      </c>
      <c r="J60" s="19">
        <v>16.492757051121387</v>
      </c>
    </row>
    <row r="61" ht="15.75" customHeight="1">
      <c r="A61" s="14" t="s">
        <v>35</v>
      </c>
      <c r="B61" s="19">
        <v>111.17684564120432</v>
      </c>
      <c r="C61" s="19">
        <v>115.9658192687179</v>
      </c>
      <c r="D61" s="19">
        <v>113.4670322317537</v>
      </c>
      <c r="E61" s="19">
        <v>112.76437348089647</v>
      </c>
      <c r="F61" s="19">
        <v>112.89500666050218</v>
      </c>
      <c r="G61" s="19">
        <v>113.66794835234941</v>
      </c>
      <c r="H61" s="19">
        <v>114.89575560753964</v>
      </c>
      <c r="I61" s="19">
        <v>116.25087972682275</v>
      </c>
      <c r="J61" s="19">
        <v>117.73426970445327</v>
      </c>
    </row>
    <row r="62" ht="15.75" customHeight="1">
      <c r="A62" s="14" t="s">
        <v>34</v>
      </c>
      <c r="B62" s="19">
        <v>98.69290234175955</v>
      </c>
      <c r="C62" s="19">
        <v>109.92748474163112</v>
      </c>
      <c r="D62" s="19">
        <v>108.40104574847382</v>
      </c>
      <c r="E62" s="19">
        <v>109.62770155502086</v>
      </c>
      <c r="F62" s="19">
        <v>113.54241279108697</v>
      </c>
      <c r="G62" s="19">
        <v>117.88084364998784</v>
      </c>
      <c r="H62" s="19">
        <v>122.90482155455442</v>
      </c>
      <c r="I62" s="19">
        <v>128.16008455206094</v>
      </c>
      <c r="J62" s="19">
        <v>133.58366683130984</v>
      </c>
    </row>
    <row r="63" ht="15.75" customHeight="1">
      <c r="A63" s="14" t="s">
        <v>138</v>
      </c>
      <c r="B63" s="19">
        <v>4.63273141607554</v>
      </c>
      <c r="C63" s="19">
        <v>4.558811878383549</v>
      </c>
      <c r="D63" s="19">
        <v>4.850096258438632</v>
      </c>
      <c r="E63" s="19">
        <v>5.183810597713132</v>
      </c>
      <c r="F63" s="19">
        <v>5.586256407239489</v>
      </c>
      <c r="G63" s="19">
        <v>6.071984755133564</v>
      </c>
      <c r="H63" s="19">
        <v>6.589002182974465</v>
      </c>
      <c r="I63" s="19">
        <v>7.057453084229227</v>
      </c>
      <c r="J63" s="19">
        <v>7.518141984319028</v>
      </c>
    </row>
    <row r="64" ht="15.75" customHeight="1">
      <c r="A64" s="14" t="s">
        <v>66</v>
      </c>
      <c r="B64" s="19">
        <v>35.644011655831605</v>
      </c>
      <c r="C64" s="19">
        <v>36.76619733906879</v>
      </c>
      <c r="D64" s="19">
        <v>35.02506794578028</v>
      </c>
      <c r="E64" s="19">
        <v>34.660283817797236</v>
      </c>
      <c r="F64" s="19">
        <v>35.02052595623435</v>
      </c>
      <c r="G64" s="19">
        <v>35.84253425843425</v>
      </c>
      <c r="H64" s="19">
        <v>36.8203524485402</v>
      </c>
      <c r="I64" s="19">
        <v>37.99156632792672</v>
      </c>
      <c r="J64" s="19">
        <v>39.40614095305774</v>
      </c>
    </row>
    <row r="65" ht="15.75" customHeight="1">
      <c r="A65" s="6" t="s">
        <v>139</v>
      </c>
      <c r="B65" s="45" t="s">
        <v>96</v>
      </c>
      <c r="C65" s="45" t="s">
        <v>96</v>
      </c>
      <c r="D65" s="19">
        <v>2.92856</v>
      </c>
      <c r="E65" s="19">
        <v>3.02106716</v>
      </c>
      <c r="F65" s="19">
        <v>3.360277794272</v>
      </c>
      <c r="G65" s="19">
        <v>4.094639313950324</v>
      </c>
      <c r="H65" s="19">
        <v>5.599856279209921</v>
      </c>
      <c r="I65" s="19">
        <v>7.746762357674806</v>
      </c>
      <c r="J65" s="19">
        <v>10.364723421805067</v>
      </c>
    </row>
    <row r="66" ht="15.75" customHeight="1">
      <c r="A66" s="6" t="s">
        <v>140</v>
      </c>
      <c r="B66" s="45" t="s">
        <v>96</v>
      </c>
      <c r="C66" s="45" t="s">
        <v>96</v>
      </c>
      <c r="D66" s="19">
        <v>2.32</v>
      </c>
      <c r="E66" s="19">
        <v>2.811725</v>
      </c>
      <c r="F66" s="19">
        <v>3.5852088268750006</v>
      </c>
      <c r="G66" s="19">
        <v>4.7167555739520495</v>
      </c>
      <c r="H66" s="19">
        <v>6.131180808103979</v>
      </c>
      <c r="I66" s="19">
        <v>7.862456262306378</v>
      </c>
      <c r="J66" s="19">
        <v>10.016714831891857</v>
      </c>
    </row>
    <row r="67" ht="15.75" customHeight="1">
      <c r="A67" s="4" t="s">
        <v>60</v>
      </c>
      <c r="B67" s="20">
        <v>35.819839477105496</v>
      </c>
      <c r="C67" s="20">
        <v>39.33705551817713</v>
      </c>
      <c r="D67" s="20">
        <v>39.39715715726706</v>
      </c>
      <c r="E67" s="20">
        <v>40.208544522412126</v>
      </c>
      <c r="F67" s="20">
        <v>41.30699673418526</v>
      </c>
      <c r="G67" s="20">
        <v>42.75799148626473</v>
      </c>
      <c r="H67" s="20">
        <v>44.72315900279024</v>
      </c>
      <c r="I67" s="20">
        <v>47.25921470937159</v>
      </c>
      <c r="J67" s="20">
        <v>50.59763739789629</v>
      </c>
    </row>
    <row r="68" ht="15.75" customHeight="1"/>
    <row r="69" ht="15.75" customHeight="1">
      <c r="A69" s="17" t="s">
        <v>141</v>
      </c>
      <c r="B69" s="2"/>
      <c r="C69" s="2"/>
      <c r="D69" s="2"/>
      <c r="E69" s="2"/>
      <c r="F69" s="2"/>
      <c r="G69" s="2"/>
      <c r="H69" s="2"/>
      <c r="I69" s="2"/>
      <c r="J69" s="3"/>
    </row>
    <row r="70" ht="15.75" customHeight="1">
      <c r="A70" s="4"/>
      <c r="B70" s="5">
        <v>2020.0</v>
      </c>
      <c r="C70" s="5">
        <v>2021.0</v>
      </c>
      <c r="D70" s="5">
        <v>2022.0</v>
      </c>
      <c r="E70" s="5">
        <v>2023.0</v>
      </c>
      <c r="F70" s="5">
        <v>2024.0</v>
      </c>
      <c r="G70" s="5" t="s">
        <v>2</v>
      </c>
      <c r="H70" s="5" t="s">
        <v>3</v>
      </c>
      <c r="I70" s="5" t="s">
        <v>4</v>
      </c>
      <c r="J70" s="5" t="s">
        <v>5</v>
      </c>
    </row>
    <row r="71" ht="15.75" customHeight="1">
      <c r="A71" s="14" t="str">
        <f t="shared" ref="A71:A79" si="1">A58</f>
        <v>Bacopa</v>
      </c>
      <c r="B71" s="45" t="s">
        <v>96</v>
      </c>
      <c r="C71" s="45" t="s">
        <v>96</v>
      </c>
      <c r="D71" s="45" t="s">
        <v>96</v>
      </c>
      <c r="E71" s="22">
        <v>0.41566666219969994</v>
      </c>
      <c r="F71" s="22">
        <v>0.27596223649805074</v>
      </c>
      <c r="G71" s="22">
        <v>0.2355455603753484</v>
      </c>
      <c r="H71" s="22">
        <v>0.19695727566713267</v>
      </c>
      <c r="I71" s="22">
        <v>0.16500045636840688</v>
      </c>
      <c r="J71" s="22">
        <v>0.13855061704953148</v>
      </c>
    </row>
    <row r="72" ht="15.75" customHeight="1">
      <c r="A72" s="14" t="str">
        <f t="shared" si="1"/>
        <v>Bitter melon</v>
      </c>
      <c r="B72" s="22">
        <v>0.4620123919828099</v>
      </c>
      <c r="C72" s="22">
        <v>0.19292637897894152</v>
      </c>
      <c r="D72" s="22">
        <v>-0.3700620763508616</v>
      </c>
      <c r="E72" s="22">
        <v>0.014809487941373529</v>
      </c>
      <c r="F72" s="22">
        <v>0.028911463124297182</v>
      </c>
      <c r="G72" s="22">
        <v>0.03810914784120613</v>
      </c>
      <c r="H72" s="22">
        <v>0.04390379713796928</v>
      </c>
      <c r="I72" s="22">
        <v>0.0497291554613762</v>
      </c>
      <c r="J72" s="22">
        <v>0.05632397981935384</v>
      </c>
    </row>
    <row r="73" ht="15.75" customHeight="1">
      <c r="A73" s="14" t="str">
        <f t="shared" si="1"/>
        <v>Boswellia</v>
      </c>
      <c r="B73" s="45" t="s">
        <v>96</v>
      </c>
      <c r="C73" s="45" t="s">
        <v>96</v>
      </c>
      <c r="D73" s="45" t="s">
        <v>96</v>
      </c>
      <c r="E73" s="22">
        <v>0.030150000999152334</v>
      </c>
      <c r="F73" s="22">
        <v>0.027240774870969937</v>
      </c>
      <c r="G73" s="22">
        <v>0.029479014150495763</v>
      </c>
      <c r="H73" s="22">
        <v>0.031994023010128485</v>
      </c>
      <c r="I73" s="22">
        <v>0.0347426939841697</v>
      </c>
      <c r="J73" s="22">
        <v>0.03774965590586971</v>
      </c>
    </row>
    <row r="74" ht="15.75" customHeight="1">
      <c r="A74" s="14" t="str">
        <f t="shared" si="1"/>
        <v>Garlic</v>
      </c>
      <c r="B74" s="22">
        <v>0.07216017164122494</v>
      </c>
      <c r="C74" s="22">
        <v>0.043075278848698356</v>
      </c>
      <c r="D74" s="22">
        <v>-0.021547616812622676</v>
      </c>
      <c r="E74" s="22">
        <v>-0.006192624738982115</v>
      </c>
      <c r="F74" s="22">
        <v>0.0011584614499528978</v>
      </c>
      <c r="G74" s="22">
        <v>0.006846553401353052</v>
      </c>
      <c r="H74" s="22">
        <v>0.010801701561325407</v>
      </c>
      <c r="I74" s="22">
        <v>0.011794379279874624</v>
      </c>
      <c r="J74" s="22">
        <v>0.012760247329881137</v>
      </c>
    </row>
    <row r="75" ht="15.75" customHeight="1">
      <c r="A75" s="14" t="str">
        <f t="shared" si="1"/>
        <v>Ginger</v>
      </c>
      <c r="B75" s="22">
        <v>0.0879855368166437</v>
      </c>
      <c r="C75" s="22">
        <v>0.11383374217699872</v>
      </c>
      <c r="D75" s="22">
        <v>-0.013885872097819545</v>
      </c>
      <c r="E75" s="22">
        <v>0.011315903809574767</v>
      </c>
      <c r="F75" s="22">
        <v>0.03570914267596282</v>
      </c>
      <c r="G75" s="22">
        <v>0.038209782162048865</v>
      </c>
      <c r="H75" s="22">
        <v>0.04261912070704031</v>
      </c>
      <c r="I75" s="22">
        <v>0.04275880255172771</v>
      </c>
      <c r="J75" s="22">
        <v>0.0423188100897807</v>
      </c>
    </row>
    <row r="76" ht="15.75" customHeight="1">
      <c r="A76" s="14" t="str">
        <f t="shared" si="1"/>
        <v>Gotu kola </v>
      </c>
      <c r="B76" s="22">
        <v>-0.07664054959601312</v>
      </c>
      <c r="C76" s="22">
        <v>-0.0159559298938614</v>
      </c>
      <c r="D76" s="22">
        <v>0.06389480150217679</v>
      </c>
      <c r="E76" s="22">
        <v>0.06880571466883231</v>
      </c>
      <c r="F76" s="22">
        <v>0.0776351299763727</v>
      </c>
      <c r="G76" s="22">
        <v>0.08695060027402203</v>
      </c>
      <c r="H76" s="22">
        <v>0.08514801151366326</v>
      </c>
      <c r="I76" s="22">
        <v>0.07109587889729459</v>
      </c>
      <c r="J76" s="22">
        <v>0.06527693412787523</v>
      </c>
    </row>
    <row r="77" ht="15.75" customHeight="1">
      <c r="A77" s="14" t="str">
        <f t="shared" si="1"/>
        <v>Licorice root</v>
      </c>
      <c r="B77" s="22">
        <v>0.025528904755117696</v>
      </c>
      <c r="C77" s="22">
        <v>0.03148314769035227</v>
      </c>
      <c r="D77" s="22">
        <v>-0.04735679834472132</v>
      </c>
      <c r="E77" s="22">
        <v>-0.010414944192192244</v>
      </c>
      <c r="F77" s="22">
        <v>0.010393513807643424</v>
      </c>
      <c r="G77" s="22">
        <v>0.023472186089585657</v>
      </c>
      <c r="H77" s="22">
        <v>0.027280944563116527</v>
      </c>
      <c r="I77" s="22">
        <v>0.03180887203682797</v>
      </c>
      <c r="J77" s="22">
        <v>0.03723391167716073</v>
      </c>
    </row>
    <row r="78" ht="15.75" customHeight="1">
      <c r="A78" s="14" t="str">
        <f t="shared" si="1"/>
        <v>Shatavari</v>
      </c>
      <c r="B78" s="45" t="s">
        <v>96</v>
      </c>
      <c r="C78" s="45" t="s">
        <v>96</v>
      </c>
      <c r="D78" s="45" t="s">
        <v>96</v>
      </c>
      <c r="E78" s="22">
        <v>0.0315879340016936</v>
      </c>
      <c r="F78" s="22">
        <v>0.11228172573032116</v>
      </c>
      <c r="G78" s="22">
        <v>0.2185419077345725</v>
      </c>
      <c r="H78" s="22">
        <v>0.36760672915227566</v>
      </c>
      <c r="I78" s="22">
        <v>0.38338592482016165</v>
      </c>
      <c r="J78" s="22">
        <v>0.33794260663444997</v>
      </c>
    </row>
    <row r="79" ht="15.75" customHeight="1">
      <c r="A79" s="14" t="str">
        <f t="shared" si="1"/>
        <v>Triphala</v>
      </c>
      <c r="B79" s="45" t="s">
        <v>96</v>
      </c>
      <c r="C79" s="45" t="s">
        <v>96</v>
      </c>
      <c r="D79" s="45" t="s">
        <v>96</v>
      </c>
      <c r="E79" s="22">
        <v>0.21195043103448286</v>
      </c>
      <c r="F79" s="22">
        <v>0.2750922749824398</v>
      </c>
      <c r="G79" s="22">
        <v>0.3156152965469926</v>
      </c>
      <c r="H79" s="22">
        <v>0.2998724890394985</v>
      </c>
      <c r="I79" s="22">
        <v>0.2823722718981082</v>
      </c>
      <c r="J79" s="22">
        <v>0.27399307515556814</v>
      </c>
    </row>
    <row r="80" ht="15.75" customHeight="1">
      <c r="A80" s="4" t="s">
        <v>60</v>
      </c>
      <c r="B80" s="9">
        <v>0.4328586804225279</v>
      </c>
      <c r="C80" s="9">
        <v>0.09819184263289868</v>
      </c>
      <c r="D80" s="9">
        <v>0.0015278631890014434</v>
      </c>
      <c r="E80" s="9">
        <v>0.020595073951811784</v>
      </c>
      <c r="F80" s="9">
        <v>0.027318875249534632</v>
      </c>
      <c r="G80" s="9">
        <v>0.035127093877503755</v>
      </c>
      <c r="H80" s="9">
        <v>0.04596023920246085</v>
      </c>
      <c r="I80" s="9">
        <v>0.05670564788196488</v>
      </c>
      <c r="J80" s="9">
        <v>0.07064067206903221</v>
      </c>
      <c r="K80" s="24"/>
    </row>
    <row r="81" ht="15.75" customHeight="1"/>
    <row r="82" ht="15.75" customHeight="1">
      <c r="A82" s="17" t="s">
        <v>142</v>
      </c>
      <c r="B82" s="3"/>
    </row>
    <row r="83" ht="15.75" customHeight="1">
      <c r="A83" s="14" t="s">
        <v>81</v>
      </c>
      <c r="B83" s="22">
        <v>0.40662924824867297</v>
      </c>
    </row>
    <row r="84" ht="15.75" customHeight="1">
      <c r="A84" s="14" t="s">
        <v>83</v>
      </c>
      <c r="B84" s="22">
        <v>0.4011490535208856</v>
      </c>
    </row>
    <row r="85" ht="15.75" customHeight="1">
      <c r="A85" s="14" t="s">
        <v>143</v>
      </c>
      <c r="B85" s="22">
        <v>0.04231790739333663</v>
      </c>
    </row>
    <row r="86" ht="15.75" customHeight="1">
      <c r="A86" s="14" t="s">
        <v>77</v>
      </c>
      <c r="B86" s="22">
        <v>0.03382415520336262</v>
      </c>
    </row>
    <row r="87" ht="15.75" customHeight="1">
      <c r="A87" s="4" t="s">
        <v>86</v>
      </c>
      <c r="B87" s="10">
        <v>0.11607963563374224</v>
      </c>
    </row>
    <row r="88" ht="15.75" customHeight="1"/>
    <row r="89" ht="15.75" customHeight="1"/>
    <row r="90" ht="15.75" customHeight="1">
      <c r="A90" s="26" t="s">
        <v>144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6:J56"/>
    <mergeCell ref="A69:J69"/>
    <mergeCell ref="A82:B82"/>
    <mergeCell ref="A1:J1"/>
    <mergeCell ref="A9:J9"/>
    <mergeCell ref="A17:B17"/>
    <mergeCell ref="A24:B24"/>
    <mergeCell ref="A34:J34"/>
    <mergeCell ref="A42:B42"/>
    <mergeCell ref="A48:B48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6" width="8.86"/>
  </cols>
  <sheetData>
    <row r="1">
      <c r="A1" s="17" t="s">
        <v>145</v>
      </c>
      <c r="B1" s="2"/>
      <c r="C1" s="2"/>
      <c r="D1" s="2"/>
      <c r="E1" s="2"/>
      <c r="F1" s="2"/>
      <c r="G1" s="2"/>
      <c r="H1" s="2"/>
      <c r="I1" s="2"/>
      <c r="J1" s="3"/>
    </row>
    <row r="2">
      <c r="A2" s="46"/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5" t="s">
        <v>2</v>
      </c>
      <c r="H2" s="5" t="s">
        <v>3</v>
      </c>
      <c r="I2" s="5" t="s">
        <v>4</v>
      </c>
      <c r="J2" s="5" t="s">
        <v>5</v>
      </c>
    </row>
    <row r="3">
      <c r="A3" s="14" t="s">
        <v>146</v>
      </c>
      <c r="B3" s="47">
        <v>548.5434</v>
      </c>
      <c r="C3" s="47">
        <v>512.888079</v>
      </c>
      <c r="D3" s="47">
        <v>396.462485067</v>
      </c>
      <c r="E3" s="47">
        <v>347.8615762875827</v>
      </c>
      <c r="F3" s="47">
        <v>316.3470791821951</v>
      </c>
      <c r="G3" s="47">
        <v>294.43954186712335</v>
      </c>
      <c r="H3" s="47">
        <v>280.1214855144902</v>
      </c>
      <c r="I3" s="47">
        <v>272.3175621342924</v>
      </c>
      <c r="J3" s="41">
        <v>266.1160264520532</v>
      </c>
    </row>
    <row r="4">
      <c r="A4" s="4" t="s">
        <v>147</v>
      </c>
      <c r="B4" s="9">
        <v>-0.059</v>
      </c>
      <c r="C4" s="9">
        <v>-0.065</v>
      </c>
      <c r="D4" s="9">
        <v>-0.227</v>
      </c>
      <c r="E4" s="9">
        <v>-0.12258640000000003</v>
      </c>
      <c r="F4" s="9">
        <v>-0.09059493561121006</v>
      </c>
      <c r="G4" s="9">
        <v>-0.06925158712293483</v>
      </c>
      <c r="H4" s="9">
        <v>-0.0486281708694368</v>
      </c>
      <c r="I4" s="9">
        <v>-0.027859067525165218</v>
      </c>
      <c r="J4" s="9">
        <v>-0.02277317567634868</v>
      </c>
    </row>
    <row r="5">
      <c r="A5" s="14" t="s">
        <v>148</v>
      </c>
      <c r="B5" s="7">
        <v>11168.45050043851</v>
      </c>
      <c r="C5" s="7">
        <v>12240.53746514293</v>
      </c>
      <c r="D5" s="7">
        <v>12017.792037182026</v>
      </c>
      <c r="E5" s="7">
        <v>12550.815459168629</v>
      </c>
      <c r="F5" s="7">
        <v>13231.264348824676</v>
      </c>
      <c r="G5" s="7">
        <v>14033.860366057303</v>
      </c>
      <c r="H5" s="7">
        <v>14940.996005106339</v>
      </c>
      <c r="I5" s="7">
        <v>15937.954437460405</v>
      </c>
      <c r="J5" s="7">
        <v>17036.089779102047</v>
      </c>
    </row>
    <row r="6">
      <c r="A6" s="4" t="s">
        <v>149</v>
      </c>
      <c r="B6" s="9">
        <v>0.17197402940171277</v>
      </c>
      <c r="C6" s="9">
        <v>0.09599245344395146</v>
      </c>
      <c r="D6" s="9">
        <v>-0.01819735682319597</v>
      </c>
      <c r="E6" s="9">
        <v>0.04435285785753941</v>
      </c>
      <c r="F6" s="9">
        <v>0.054215512280436334</v>
      </c>
      <c r="G6" s="9">
        <v>0.060659056918012585</v>
      </c>
      <c r="H6" s="9">
        <v>0.06463906689873164</v>
      </c>
      <c r="I6" s="9">
        <v>0.06672637031783814</v>
      </c>
      <c r="J6" s="9">
        <v>0.06890064505772436</v>
      </c>
    </row>
    <row r="7" ht="49.5" customHeight="1">
      <c r="A7" s="12" t="s">
        <v>150</v>
      </c>
      <c r="B7" s="13">
        <v>0.0491154435414709</v>
      </c>
      <c r="C7" s="13">
        <v>0.0419007809469591</v>
      </c>
      <c r="D7" s="13">
        <v>0.03298962769869697</v>
      </c>
      <c r="E7" s="13">
        <v>0.027716252973304826</v>
      </c>
      <c r="F7" s="13">
        <v>0.023909058941165816</v>
      </c>
      <c r="G7" s="13">
        <v>0.02098065209336579</v>
      </c>
      <c r="H7" s="13">
        <v>0.01874851485260781</v>
      </c>
      <c r="I7" s="13">
        <v>0.017086104945452724</v>
      </c>
      <c r="J7" s="13">
        <v>0.015620722237475779</v>
      </c>
    </row>
    <row r="9" ht="13.5" customHeight="1">
      <c r="A9" s="17" t="s">
        <v>151</v>
      </c>
      <c r="B9" s="2"/>
      <c r="C9" s="2"/>
      <c r="D9" s="2"/>
      <c r="E9" s="2"/>
      <c r="F9" s="2"/>
      <c r="G9" s="2"/>
      <c r="H9" s="2"/>
      <c r="I9" s="2"/>
      <c r="J9" s="3"/>
      <c r="K9" s="48"/>
    </row>
    <row r="10">
      <c r="A10" s="46"/>
      <c r="B10" s="5">
        <v>2020.0</v>
      </c>
      <c r="C10" s="5">
        <v>2021.0</v>
      </c>
      <c r="D10" s="5">
        <v>2022.0</v>
      </c>
      <c r="E10" s="5">
        <v>2023.0</v>
      </c>
      <c r="F10" s="5">
        <v>2024.0</v>
      </c>
      <c r="G10" s="5" t="s">
        <v>2</v>
      </c>
      <c r="H10" s="5" t="s">
        <v>3</v>
      </c>
      <c r="I10" s="5" t="s">
        <v>4</v>
      </c>
      <c r="J10" s="5" t="s">
        <v>5</v>
      </c>
      <c r="K10" s="49"/>
    </row>
    <row r="11">
      <c r="A11" s="14" t="s">
        <v>152</v>
      </c>
      <c r="B11" s="50">
        <v>178.27660500000002</v>
      </c>
      <c r="C11" s="50">
        <v>162.58552104300009</v>
      </c>
      <c r="D11" s="51">
        <v>115.13998867417865</v>
      </c>
      <c r="E11" s="51">
        <v>96.92877349768833</v>
      </c>
      <c r="F11" s="51">
        <v>85.87525033777719</v>
      </c>
      <c r="G11" s="51">
        <v>79.9015166272026</v>
      </c>
      <c r="H11" s="51">
        <v>75.45496997703711</v>
      </c>
      <c r="I11" s="51">
        <v>72.9355130894653</v>
      </c>
      <c r="J11" s="51">
        <v>70.76806787063603</v>
      </c>
      <c r="K11" s="22"/>
    </row>
    <row r="12">
      <c r="A12" s="14" t="s">
        <v>153</v>
      </c>
      <c r="B12" s="50">
        <v>302.79595680000006</v>
      </c>
      <c r="C12" s="50">
        <v>268.24046531700014</v>
      </c>
      <c r="D12" s="32">
        <v>199.49867103880175</v>
      </c>
      <c r="E12" s="32">
        <v>169.3398074358027</v>
      </c>
      <c r="F12" s="32">
        <v>148.86008743196894</v>
      </c>
      <c r="G12" s="32">
        <v>132.6574493112317</v>
      </c>
      <c r="H12" s="32">
        <v>122.27576077022356</v>
      </c>
      <c r="I12" s="32">
        <v>116.20887267439393</v>
      </c>
      <c r="J12" s="32">
        <v>111.07724775202848</v>
      </c>
      <c r="K12" s="22"/>
    </row>
    <row r="13">
      <c r="A13" s="14" t="s">
        <v>154</v>
      </c>
      <c r="B13" s="50">
        <v>4.9368906</v>
      </c>
      <c r="C13" s="50">
        <v>6.667545027000003</v>
      </c>
      <c r="D13" s="32">
        <v>5.976171896508007</v>
      </c>
      <c r="E13" s="32">
        <v>5.201568077614474</v>
      </c>
      <c r="F13" s="32">
        <v>4.594785155329682</v>
      </c>
      <c r="G13" s="32">
        <v>4.112385730771861</v>
      </c>
      <c r="H13" s="32">
        <v>3.7238079847580505</v>
      </c>
      <c r="I13" s="32">
        <v>3.424725978148997</v>
      </c>
      <c r="J13" s="32">
        <v>3.204677270627359</v>
      </c>
      <c r="K13" s="22"/>
    </row>
    <row r="14">
      <c r="A14" s="14" t="s">
        <v>155</v>
      </c>
      <c r="B14" s="50">
        <v>52.111623</v>
      </c>
      <c r="C14" s="50">
        <v>60.00790524300004</v>
      </c>
      <c r="D14" s="32">
        <v>60.291019462608</v>
      </c>
      <c r="E14" s="32">
        <v>60.6295148888011</v>
      </c>
      <c r="F14" s="32">
        <v>61.05500971508476</v>
      </c>
      <c r="G14" s="32">
        <v>61.5906108740276</v>
      </c>
      <c r="H14" s="32">
        <v>62.265985481247924</v>
      </c>
      <c r="I14" s="32">
        <v>63.11946105347426</v>
      </c>
      <c r="J14" s="32">
        <v>64.20092868232629</v>
      </c>
      <c r="K14" s="22"/>
    </row>
    <row r="15">
      <c r="A15" s="14" t="s">
        <v>86</v>
      </c>
      <c r="B15" s="50">
        <v>10.4223246</v>
      </c>
      <c r="C15" s="50">
        <v>15.386642370000008</v>
      </c>
      <c r="D15" s="35">
        <v>15.558972764544002</v>
      </c>
      <c r="E15" s="35">
        <v>15.757738641611056</v>
      </c>
      <c r="F15" s="35">
        <v>15.964076380536303</v>
      </c>
      <c r="G15" s="35">
        <v>16.178341973258075</v>
      </c>
      <c r="H15" s="35">
        <v>16.400911917065883</v>
      </c>
      <c r="I15" s="35">
        <v>16.632184614914483</v>
      </c>
      <c r="J15" s="35">
        <v>16.872581885634524</v>
      </c>
      <c r="K15" s="22"/>
    </row>
    <row r="16">
      <c r="A16" s="52" t="s">
        <v>74</v>
      </c>
      <c r="B16" s="53">
        <v>548.5434000000001</v>
      </c>
      <c r="C16" s="53">
        <v>512.8880790000003</v>
      </c>
      <c r="D16" s="53">
        <v>396.4648238366404</v>
      </c>
      <c r="E16" s="53">
        <v>347.8574025415177</v>
      </c>
      <c r="F16" s="53">
        <v>316.3492090206969</v>
      </c>
      <c r="G16" s="53">
        <v>294.4403045164918</v>
      </c>
      <c r="H16" s="53">
        <v>280.12143613033254</v>
      </c>
      <c r="I16" s="53">
        <v>272.320757410397</v>
      </c>
      <c r="J16" s="53">
        <v>266.1235034612527</v>
      </c>
      <c r="K16" s="54"/>
    </row>
    <row r="17">
      <c r="A17" s="6"/>
      <c r="K17" s="55"/>
    </row>
    <row r="18" ht="13.5" customHeight="1">
      <c r="A18" s="17" t="s">
        <v>156</v>
      </c>
      <c r="B18" s="2"/>
      <c r="C18" s="2"/>
      <c r="D18" s="2"/>
      <c r="E18" s="2"/>
      <c r="F18" s="2"/>
      <c r="G18" s="2"/>
      <c r="H18" s="2"/>
      <c r="I18" s="2"/>
      <c r="J18" s="3"/>
      <c r="K18" s="48"/>
    </row>
    <row r="19">
      <c r="A19" s="46"/>
      <c r="B19" s="5">
        <v>2020.0</v>
      </c>
      <c r="C19" s="5">
        <v>2021.0</v>
      </c>
      <c r="D19" s="5">
        <v>2022.0</v>
      </c>
      <c r="E19" s="5">
        <v>2023.0</v>
      </c>
      <c r="F19" s="5">
        <v>2024.0</v>
      </c>
      <c r="G19" s="5" t="s">
        <v>2</v>
      </c>
      <c r="H19" s="5" t="s">
        <v>3</v>
      </c>
      <c r="I19" s="5" t="s">
        <v>4</v>
      </c>
      <c r="J19" s="5" t="s">
        <v>5</v>
      </c>
      <c r="K19" s="49"/>
    </row>
    <row r="20">
      <c r="A20" s="14" t="s">
        <v>152</v>
      </c>
      <c r="B20" s="22">
        <v>-0.10082835016916504</v>
      </c>
      <c r="C20" s="56">
        <v>-0.08801538461538423</v>
      </c>
      <c r="D20" s="56">
        <v>-0.291818927444795</v>
      </c>
      <c r="E20" s="56">
        <v>-0.1581658586750789</v>
      </c>
      <c r="F20" s="56">
        <v>-0.11403758410473189</v>
      </c>
      <c r="G20" s="56">
        <v>-0.06956292630388645</v>
      </c>
      <c r="H20" s="56">
        <v>-0.05565034104310917</v>
      </c>
      <c r="I20" s="56">
        <v>-0.0333902046258655</v>
      </c>
      <c r="J20" s="56">
        <v>-0.029717282117020294</v>
      </c>
      <c r="K20" s="56"/>
    </row>
    <row r="21" ht="15.75" customHeight="1">
      <c r="A21" s="14" t="s">
        <v>153</v>
      </c>
      <c r="B21" s="22">
        <v>-0.1487690530126047</v>
      </c>
      <c r="C21" s="56">
        <v>-0.11412137681159389</v>
      </c>
      <c r="D21" s="56">
        <v>-0.256269292543021</v>
      </c>
      <c r="E21" s="56">
        <v>-0.15117325567112808</v>
      </c>
      <c r="F21" s="56">
        <v>-0.12093860453690247</v>
      </c>
      <c r="G21" s="56">
        <v>-0.10884474408321222</v>
      </c>
      <c r="H21" s="56">
        <v>-0.07825937099582958</v>
      </c>
      <c r="I21" s="56">
        <v>-0.04961644121135596</v>
      </c>
      <c r="J21" s="56">
        <v>-0.0441586326781068</v>
      </c>
      <c r="K21" s="56"/>
    </row>
    <row r="22" ht="15.75" customHeight="1">
      <c r="A22" s="14" t="s">
        <v>154</v>
      </c>
      <c r="B22" s="22">
        <v>0.6932093836814491</v>
      </c>
      <c r="C22" s="56">
        <v>0.3505555555555561</v>
      </c>
      <c r="D22" s="56">
        <v>-0.103692307692307</v>
      </c>
      <c r="E22" s="56">
        <v>-0.12961538461538374</v>
      </c>
      <c r="F22" s="56">
        <v>-0.11665384615384537</v>
      </c>
      <c r="G22" s="56">
        <v>-0.10498846153846084</v>
      </c>
      <c r="H22" s="56">
        <v>-0.09448961538461476</v>
      </c>
      <c r="I22" s="56">
        <v>-0.08031617307692254</v>
      </c>
      <c r="J22" s="56">
        <v>-0.06425293846153804</v>
      </c>
      <c r="K22" s="56"/>
    </row>
    <row r="23" ht="15.75" customHeight="1">
      <c r="A23" s="14" t="s">
        <v>155</v>
      </c>
      <c r="B23" s="22">
        <v>1.978794286106253</v>
      </c>
      <c r="C23" s="56">
        <v>0.1515263157894744</v>
      </c>
      <c r="D23" s="56">
        <v>0.0047179487179481614</v>
      </c>
      <c r="E23" s="56">
        <v>0.005614358974358312</v>
      </c>
      <c r="F23" s="56">
        <v>0.00701794871794789</v>
      </c>
      <c r="G23" s="56">
        <v>0.008772435897434863</v>
      </c>
      <c r="H23" s="56">
        <v>0.010965544871793579</v>
      </c>
      <c r="I23" s="56">
        <v>0.013706931089741973</v>
      </c>
      <c r="J23" s="56">
        <v>0.017133663862177465</v>
      </c>
      <c r="K23" s="56"/>
    </row>
    <row r="24" ht="15.75" customHeight="1">
      <c r="A24" s="14" t="s">
        <v>86</v>
      </c>
      <c r="B24" s="22">
        <v>0.19151771444250118</v>
      </c>
      <c r="C24" s="56">
        <v>0.476315789473685</v>
      </c>
      <c r="D24" s="9">
        <v>0.011199999999999634</v>
      </c>
      <c r="E24" s="9">
        <v>0.012775000000000135</v>
      </c>
      <c r="F24" s="56">
        <v>0.013094375000000137</v>
      </c>
      <c r="G24" s="56">
        <v>0.01342173437500014</v>
      </c>
      <c r="H24" s="56">
        <v>0.013757277734375142</v>
      </c>
      <c r="I24" s="56">
        <v>0.01410120967773452</v>
      </c>
      <c r="J24" s="56">
        <v>0.014453739919677881</v>
      </c>
      <c r="K24" s="56"/>
    </row>
    <row r="25" ht="15.75" customHeight="1">
      <c r="A25" s="52" t="s">
        <v>74</v>
      </c>
      <c r="B25" s="57">
        <v>-0.059</v>
      </c>
      <c r="C25" s="57">
        <v>-0.065</v>
      </c>
      <c r="D25" s="57">
        <v>-0.227</v>
      </c>
      <c r="E25" s="57">
        <v>-0.12258640000000003</v>
      </c>
      <c r="F25" s="57">
        <v>-0.09059493561121006</v>
      </c>
      <c r="G25" s="57">
        <v>-0.06925158712293483</v>
      </c>
      <c r="H25" s="57">
        <v>-0.0486281708694368</v>
      </c>
      <c r="I25" s="57">
        <v>-0.027859067525165218</v>
      </c>
      <c r="J25" s="57">
        <v>-0.02277317567634868</v>
      </c>
      <c r="K25" s="58"/>
    </row>
    <row r="26" ht="15.75" customHeight="1"/>
    <row r="27" ht="28.5" customHeight="1">
      <c r="A27" s="1" t="s">
        <v>157</v>
      </c>
      <c r="B27" s="3"/>
      <c r="C27" s="48"/>
      <c r="D27" s="48"/>
      <c r="E27" s="48"/>
      <c r="F27" s="48"/>
      <c r="G27" s="48"/>
      <c r="H27" s="48"/>
    </row>
    <row r="28" ht="15.75" customHeight="1">
      <c r="A28" s="6" t="s">
        <v>119</v>
      </c>
      <c r="B28" s="56">
        <v>0.32469334047819653</v>
      </c>
    </row>
    <row r="29" ht="15.75" customHeight="1">
      <c r="A29" s="6" t="s">
        <v>120</v>
      </c>
      <c r="B29" s="56">
        <v>0.3420042101879442</v>
      </c>
    </row>
    <row r="30" ht="15.75" customHeight="1">
      <c r="A30" s="6" t="s">
        <v>121</v>
      </c>
      <c r="B30" s="9">
        <v>0.33330244933385944</v>
      </c>
    </row>
    <row r="31" ht="15.75" customHeight="1">
      <c r="A31" s="52" t="s">
        <v>74</v>
      </c>
      <c r="B31" s="59">
        <v>1.0000000000000002</v>
      </c>
    </row>
    <row r="32" ht="15.75" customHeight="1"/>
    <row r="33" ht="31.5" customHeight="1">
      <c r="A33" s="1" t="s">
        <v>158</v>
      </c>
      <c r="B33" s="3"/>
    </row>
    <row r="34" ht="15.75" customHeight="1">
      <c r="A34" s="27" t="s">
        <v>81</v>
      </c>
      <c r="B34" s="56">
        <v>0.3178827079431483</v>
      </c>
    </row>
    <row r="35" ht="15.75" customHeight="1">
      <c r="A35" s="27" t="s">
        <v>80</v>
      </c>
      <c r="B35" s="56">
        <v>0.21574691422744013</v>
      </c>
    </row>
    <row r="36" ht="15.75" customHeight="1">
      <c r="A36" s="27" t="s">
        <v>123</v>
      </c>
      <c r="B36" s="56">
        <v>0.21693443550285937</v>
      </c>
    </row>
    <row r="37" ht="15.75" customHeight="1">
      <c r="A37" s="60" t="s">
        <v>86</v>
      </c>
      <c r="B37" s="9">
        <v>0.24943594232655217</v>
      </c>
    </row>
    <row r="38" ht="15.75" customHeight="1">
      <c r="A38" s="61" t="s">
        <v>74</v>
      </c>
      <c r="B38" s="25">
        <v>1.0</v>
      </c>
    </row>
    <row r="39" ht="15.75" customHeight="1">
      <c r="A39" s="27"/>
      <c r="B39" s="56"/>
    </row>
    <row r="40" ht="15.75" customHeight="1"/>
    <row r="41" ht="15.75" customHeight="1">
      <c r="A41" s="26" t="s">
        <v>159</v>
      </c>
      <c r="B41" s="22"/>
    </row>
    <row r="42" ht="15.75" customHeight="1">
      <c r="A42" s="27"/>
      <c r="B42" s="2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9:J9"/>
    <mergeCell ref="A18:J18"/>
    <mergeCell ref="A27:B27"/>
    <mergeCell ref="A33:B33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8.86"/>
    <col customWidth="1" min="3" max="3" width="10.43"/>
    <col customWidth="1" min="4" max="4" width="9.14"/>
    <col customWidth="1" min="5" max="30" width="8.86"/>
  </cols>
  <sheetData>
    <row r="1">
      <c r="A1" s="17" t="s">
        <v>160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6"/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5" t="s">
        <v>2</v>
      </c>
      <c r="H2" s="5" t="s">
        <v>3</v>
      </c>
      <c r="I2" s="5" t="s">
        <v>4</v>
      </c>
      <c r="J2" s="5" t="s">
        <v>5</v>
      </c>
    </row>
    <row r="3">
      <c r="A3" s="14" t="s">
        <v>161</v>
      </c>
      <c r="B3" s="62">
        <v>193.3611162527783</v>
      </c>
      <c r="C3" s="62">
        <v>275.80248986928154</v>
      </c>
      <c r="D3" s="62">
        <v>341.8179842635335</v>
      </c>
      <c r="E3" s="62">
        <v>396.3208824244615</v>
      </c>
      <c r="F3" s="62">
        <v>461.2792929027386</v>
      </c>
      <c r="G3" s="62">
        <v>537.8475979245252</v>
      </c>
      <c r="H3" s="62">
        <v>622.5051110789068</v>
      </c>
      <c r="I3" s="62">
        <v>711.1286734673386</v>
      </c>
      <c r="J3" s="19">
        <v>799.6592723398969</v>
      </c>
      <c r="K3" s="55"/>
    </row>
    <row r="4">
      <c r="A4" s="4" t="s">
        <v>162</v>
      </c>
      <c r="B4" s="9">
        <v>0.7923794168308774</v>
      </c>
      <c r="C4" s="9">
        <v>0.426359628110177</v>
      </c>
      <c r="D4" s="9">
        <v>0.2393578623076987</v>
      </c>
      <c r="E4" s="9">
        <v>0.159450060178541</v>
      </c>
      <c r="F4" s="9">
        <v>0.16390357752763154</v>
      </c>
      <c r="G4" s="9">
        <v>0.16599120359372202</v>
      </c>
      <c r="H4" s="9">
        <v>0.1574005600862819</v>
      </c>
      <c r="I4" s="9">
        <v>0.14236599958967747</v>
      </c>
      <c r="J4" s="9">
        <v>0.12449308005103872</v>
      </c>
      <c r="K4" s="55"/>
    </row>
    <row r="5">
      <c r="A5" s="14" t="s">
        <v>148</v>
      </c>
      <c r="B5" s="7">
        <v>11168.45050043851</v>
      </c>
      <c r="C5" s="7">
        <v>12240.53746514293</v>
      </c>
      <c r="D5" s="7">
        <v>12017.792037182026</v>
      </c>
      <c r="E5" s="7">
        <v>12550.815459168629</v>
      </c>
      <c r="F5" s="7">
        <v>13231.264348824676</v>
      </c>
      <c r="G5" s="7">
        <v>14033.860366057303</v>
      </c>
      <c r="H5" s="7">
        <v>14940.996005106339</v>
      </c>
      <c r="I5" s="7">
        <v>15937.954437460405</v>
      </c>
      <c r="J5" s="7">
        <v>17036.089779102047</v>
      </c>
      <c r="K5" s="55"/>
    </row>
    <row r="6">
      <c r="A6" s="4" t="s">
        <v>149</v>
      </c>
      <c r="B6" s="9">
        <v>0.17197402940171277</v>
      </c>
      <c r="C6" s="9">
        <v>0.09599245344395146</v>
      </c>
      <c r="D6" s="9">
        <v>-0.01819735682319597</v>
      </c>
      <c r="E6" s="9">
        <v>0.04435285785753941</v>
      </c>
      <c r="F6" s="9">
        <v>0.054215512280436334</v>
      </c>
      <c r="G6" s="9">
        <v>0.060659056918012585</v>
      </c>
      <c r="H6" s="9">
        <v>0.06463906689873164</v>
      </c>
      <c r="I6" s="9">
        <v>0.06672637031783814</v>
      </c>
      <c r="J6" s="9">
        <v>0.06890064505772436</v>
      </c>
      <c r="K6" s="55"/>
    </row>
    <row r="7" ht="30.75" customHeight="1">
      <c r="A7" s="12" t="s">
        <v>163</v>
      </c>
      <c r="B7" s="13">
        <v>0.017313155145844653</v>
      </c>
      <c r="C7" s="13">
        <v>0.022531893771386865</v>
      </c>
      <c r="D7" s="13">
        <v>0.02844266094853179</v>
      </c>
      <c r="E7" s="13">
        <v>0.031577301388408266</v>
      </c>
      <c r="F7" s="13">
        <v>0.03486282797635388</v>
      </c>
      <c r="G7" s="13">
        <v>0.03832499283129386</v>
      </c>
      <c r="H7" s="13">
        <v>0.04166423114403853</v>
      </c>
      <c r="I7" s="13">
        <v>0.044618566093771045</v>
      </c>
      <c r="J7" s="13">
        <v>0.046939132319015406</v>
      </c>
      <c r="K7" s="55"/>
    </row>
    <row r="9">
      <c r="A9" s="63"/>
      <c r="C9" s="48"/>
      <c r="D9" s="48"/>
      <c r="E9" s="48"/>
      <c r="F9" s="48"/>
      <c r="G9" s="48"/>
      <c r="H9" s="48"/>
      <c r="I9" s="48"/>
    </row>
    <row r="10" ht="29.25" customHeight="1">
      <c r="A10" s="1" t="s">
        <v>164</v>
      </c>
      <c r="B10" s="3"/>
      <c r="C10" s="49"/>
      <c r="D10" s="64"/>
      <c r="E10" s="64"/>
    </row>
    <row r="11">
      <c r="A11" s="65"/>
      <c r="B11" s="5">
        <v>2024.0</v>
      </c>
      <c r="D11" s="64"/>
    </row>
    <row r="12">
      <c r="A12" s="14" t="s">
        <v>119</v>
      </c>
      <c r="B12" s="66">
        <v>0.2819926376508959</v>
      </c>
      <c r="D12" s="26"/>
      <c r="E12" s="15"/>
    </row>
    <row r="13" ht="13.5" customHeight="1">
      <c r="A13" s="14" t="s">
        <v>120</v>
      </c>
      <c r="B13" s="15">
        <v>0.19167953932912973</v>
      </c>
      <c r="D13" s="26"/>
      <c r="E13" s="67"/>
    </row>
    <row r="14" ht="13.5" customHeight="1">
      <c r="A14" s="4" t="s">
        <v>121</v>
      </c>
      <c r="B14" s="16">
        <v>0.5263278230199744</v>
      </c>
      <c r="D14" s="26"/>
      <c r="E14" s="68"/>
    </row>
    <row r="15">
      <c r="A15" s="24" t="s">
        <v>74</v>
      </c>
      <c r="B15" s="25">
        <v>1.0</v>
      </c>
      <c r="D15" s="69"/>
      <c r="E15" s="69"/>
      <c r="F15" s="70"/>
      <c r="G15" s="70"/>
      <c r="H15" s="70"/>
      <c r="I15" s="70"/>
      <c r="K15" s="22"/>
    </row>
    <row r="16">
      <c r="B16" s="71"/>
      <c r="D16" s="70"/>
      <c r="E16" s="70"/>
      <c r="F16" s="70"/>
      <c r="G16" s="70"/>
      <c r="H16" s="70"/>
      <c r="I16" s="70"/>
    </row>
    <row r="17" ht="27.75" customHeight="1">
      <c r="A17" s="1" t="s">
        <v>165</v>
      </c>
      <c r="B17" s="3"/>
      <c r="C17" s="72"/>
      <c r="D17" s="64"/>
      <c r="E17" s="64"/>
      <c r="H17" s="27"/>
    </row>
    <row r="18">
      <c r="A18" s="65"/>
      <c r="B18" s="5">
        <v>2024.0</v>
      </c>
      <c r="C18" s="72"/>
      <c r="D18" s="64"/>
      <c r="E18" s="24"/>
    </row>
    <row r="19">
      <c r="A19" s="14" t="s">
        <v>79</v>
      </c>
      <c r="B19" s="22">
        <v>0.5378665124776567</v>
      </c>
      <c r="D19" s="26"/>
      <c r="E19" s="15"/>
    </row>
    <row r="20">
      <c r="A20" s="14" t="s">
        <v>83</v>
      </c>
      <c r="B20" s="22">
        <v>0.1378409410615102</v>
      </c>
      <c r="D20" s="26"/>
      <c r="E20" s="15"/>
    </row>
    <row r="21" ht="15.75" customHeight="1">
      <c r="A21" s="14" t="s">
        <v>81</v>
      </c>
      <c r="B21" s="22">
        <v>0.12721327384962425</v>
      </c>
      <c r="D21" s="26"/>
      <c r="E21" s="15"/>
    </row>
    <row r="22" ht="15.75" customHeight="1">
      <c r="A22" s="14" t="s">
        <v>78</v>
      </c>
      <c r="B22" s="22">
        <v>0.03520802964593085</v>
      </c>
      <c r="D22" s="26"/>
      <c r="E22" s="15"/>
    </row>
    <row r="23" ht="15.75" customHeight="1">
      <c r="A23" s="14" t="s">
        <v>143</v>
      </c>
      <c r="B23" s="22">
        <v>0.029937377097900744</v>
      </c>
      <c r="D23" s="26"/>
      <c r="E23" s="15"/>
    </row>
    <row r="24" ht="15.75" customHeight="1">
      <c r="A24" s="4" t="s">
        <v>86</v>
      </c>
      <c r="B24" s="10">
        <v>0.13193386586737715</v>
      </c>
      <c r="D24" s="26"/>
      <c r="E24" s="15"/>
    </row>
    <row r="25" ht="15.75" customHeight="1">
      <c r="A25" s="61" t="s">
        <v>74</v>
      </c>
      <c r="B25" s="25">
        <v>1.0</v>
      </c>
      <c r="D25" s="24"/>
      <c r="E25" s="24"/>
      <c r="F25" s="24"/>
      <c r="G25" s="24"/>
      <c r="H25" s="24"/>
      <c r="I25" s="24"/>
      <c r="J25" s="24"/>
      <c r="K25" s="24"/>
    </row>
    <row r="26" ht="12.0" customHeight="1">
      <c r="A26" s="73"/>
      <c r="B26" s="74"/>
      <c r="C26" s="74"/>
      <c r="I26" s="75"/>
      <c r="J26" s="76"/>
      <c r="K26" s="76"/>
    </row>
    <row r="27" ht="15.0" customHeight="1">
      <c r="A27" s="77" t="s">
        <v>166</v>
      </c>
      <c r="B27" s="2"/>
      <c r="C27" s="2"/>
      <c r="D27" s="2"/>
      <c r="E27" s="2"/>
      <c r="F27" s="2"/>
      <c r="G27" s="2"/>
      <c r="H27" s="2"/>
      <c r="I27" s="2"/>
      <c r="J27" s="3"/>
      <c r="K27" s="49"/>
    </row>
    <row r="28" ht="15.75" customHeight="1">
      <c r="A28" s="5"/>
      <c r="B28" s="5">
        <v>2020.0</v>
      </c>
      <c r="C28" s="5">
        <v>2021.0</v>
      </c>
      <c r="D28" s="5">
        <v>2022.0</v>
      </c>
      <c r="E28" s="5">
        <v>2023.0</v>
      </c>
      <c r="F28" s="5">
        <v>2024.0</v>
      </c>
      <c r="G28" s="5" t="s">
        <v>2</v>
      </c>
      <c r="H28" s="5" t="s">
        <v>3</v>
      </c>
      <c r="I28" s="5" t="s">
        <v>4</v>
      </c>
      <c r="J28" s="5" t="s">
        <v>5</v>
      </c>
      <c r="K28" s="70"/>
    </row>
    <row r="29" ht="15.75" customHeight="1">
      <c r="A29" s="14" t="s">
        <v>167</v>
      </c>
      <c r="B29" s="78">
        <v>15.824890614040418</v>
      </c>
      <c r="C29" s="79">
        <v>19.54584839908872</v>
      </c>
      <c r="D29" s="79">
        <v>22.470332469349614</v>
      </c>
      <c r="E29" s="79">
        <v>24.730396016892893</v>
      </c>
      <c r="F29" s="79">
        <v>26.71618161051889</v>
      </c>
      <c r="G29" s="79">
        <v>28.9952369570104</v>
      </c>
      <c r="H29" s="79">
        <v>30.946314687422884</v>
      </c>
      <c r="I29" s="80">
        <v>32.829736115307355</v>
      </c>
      <c r="J29" s="80">
        <v>34.689263599574915</v>
      </c>
      <c r="K29" s="70"/>
    </row>
    <row r="30" ht="15.75" customHeight="1">
      <c r="A30" s="14" t="s">
        <v>168</v>
      </c>
      <c r="B30" s="78">
        <v>21.292016964474406</v>
      </c>
      <c r="C30" s="79">
        <v>33.45156058324322</v>
      </c>
      <c r="D30" s="79">
        <v>45.10065767806794</v>
      </c>
      <c r="E30" s="79">
        <v>54.54886811944414</v>
      </c>
      <c r="F30" s="79">
        <v>66.58776654934645</v>
      </c>
      <c r="G30" s="79">
        <v>80.86832594527267</v>
      </c>
      <c r="H30" s="79">
        <v>96.61356723963864</v>
      </c>
      <c r="I30" s="80">
        <v>113.24245541172127</v>
      </c>
      <c r="J30" s="80">
        <v>129.00933395169434</v>
      </c>
      <c r="K30" s="70"/>
    </row>
    <row r="31" ht="15.75" customHeight="1">
      <c r="A31" s="14" t="s">
        <v>169</v>
      </c>
      <c r="B31" s="78">
        <v>20.90747598427228</v>
      </c>
      <c r="C31" s="79">
        <v>31.8205945546838</v>
      </c>
      <c r="D31" s="79">
        <v>39.679851618710366</v>
      </c>
      <c r="E31" s="79">
        <v>44.46731716918774</v>
      </c>
      <c r="F31" s="79">
        <v>49.706354485938235</v>
      </c>
      <c r="G31" s="79">
        <v>55.20001005659418</v>
      </c>
      <c r="H31" s="79">
        <v>60.58118632653182</v>
      </c>
      <c r="I31" s="80">
        <v>66.12945187074594</v>
      </c>
      <c r="J31" s="80">
        <v>71.74895048324325</v>
      </c>
      <c r="K31" s="70"/>
    </row>
    <row r="32" ht="15.75" customHeight="1">
      <c r="A32" s="14" t="s">
        <v>170</v>
      </c>
      <c r="B32" s="78">
        <v>23.16067385458485</v>
      </c>
      <c r="C32" s="79">
        <v>36.97379033322373</v>
      </c>
      <c r="D32" s="79">
        <v>46.09513798524196</v>
      </c>
      <c r="E32" s="79">
        <v>55.486249054312324</v>
      </c>
      <c r="F32" s="79">
        <v>66.54223420487702</v>
      </c>
      <c r="G32" s="79">
        <v>78.32608092368014</v>
      </c>
      <c r="H32" s="79">
        <v>91.30500695236165</v>
      </c>
      <c r="I32" s="80">
        <v>105.28849981545221</v>
      </c>
      <c r="J32" s="80">
        <v>119.7513496883836</v>
      </c>
      <c r="K32" s="70"/>
    </row>
    <row r="33" ht="15.75" customHeight="1">
      <c r="A33" s="14" t="s">
        <v>171</v>
      </c>
      <c r="B33" s="78">
        <v>17.317050253221673</v>
      </c>
      <c r="C33" s="79">
        <v>25.060678404980102</v>
      </c>
      <c r="D33" s="79">
        <v>29.8375405331289</v>
      </c>
      <c r="E33" s="79">
        <v>32.704773647824545</v>
      </c>
      <c r="F33" s="79">
        <v>34.9907778065803</v>
      </c>
      <c r="G33" s="79">
        <v>37.3936535443468</v>
      </c>
      <c r="H33" s="79">
        <v>39.87365773802273</v>
      </c>
      <c r="I33" s="80">
        <v>42.423102574246165</v>
      </c>
      <c r="J33" s="80">
        <v>44.99035982181539</v>
      </c>
      <c r="K33" s="70"/>
    </row>
    <row r="34" ht="15.75" customHeight="1">
      <c r="A34" s="14" t="s">
        <v>172</v>
      </c>
      <c r="B34" s="78">
        <v>16.11304062506936</v>
      </c>
      <c r="C34" s="79">
        <v>18.48974653555108</v>
      </c>
      <c r="D34" s="79">
        <v>20.568100236990304</v>
      </c>
      <c r="E34" s="79">
        <v>21.771316300143628</v>
      </c>
      <c r="F34" s="79">
        <v>22.69341138519196</v>
      </c>
      <c r="G34" s="79">
        <v>23.561765166886694</v>
      </c>
      <c r="H34" s="79">
        <v>24.322178671495266</v>
      </c>
      <c r="I34" s="80">
        <v>24.99665971978608</v>
      </c>
      <c r="J34" s="80">
        <v>25.594279467029818</v>
      </c>
      <c r="K34" s="70"/>
    </row>
    <row r="35" ht="15.75" customHeight="1">
      <c r="A35" s="14" t="s">
        <v>173</v>
      </c>
      <c r="B35" s="78">
        <v>14.898562383850184</v>
      </c>
      <c r="C35" s="79">
        <v>17.017020865164838</v>
      </c>
      <c r="D35" s="79">
        <v>19.016492852706932</v>
      </c>
      <c r="E35" s="79">
        <v>20.125134003997974</v>
      </c>
      <c r="F35" s="79">
        <v>20.99803687160287</v>
      </c>
      <c r="G35" s="79">
        <v>21.790730355564</v>
      </c>
      <c r="H35" s="79">
        <v>22.46654841030861</v>
      </c>
      <c r="I35" s="80">
        <v>23.070763175129265</v>
      </c>
      <c r="J35" s="80">
        <v>23.61070465432438</v>
      </c>
      <c r="K35" s="70"/>
    </row>
    <row r="36" ht="15.75" customHeight="1">
      <c r="A36" s="14" t="s">
        <v>174</v>
      </c>
      <c r="B36" s="78">
        <v>59.51755056081589</v>
      </c>
      <c r="C36" s="79">
        <v>88.83055629003599</v>
      </c>
      <c r="D36" s="79">
        <v>114.21058737321312</v>
      </c>
      <c r="E36" s="79">
        <v>137.45037971768892</v>
      </c>
      <c r="F36" s="79">
        <v>167.8143557845372</v>
      </c>
      <c r="G36" s="79">
        <v>206.2870349814937</v>
      </c>
      <c r="H36" s="79">
        <v>250.79362845342962</v>
      </c>
      <c r="I36" s="80">
        <v>297.3675039333167</v>
      </c>
      <c r="J36" s="80">
        <v>344.28919523511513</v>
      </c>
      <c r="K36" s="70"/>
    </row>
    <row r="37" ht="15.75" customHeight="1">
      <c r="A37" s="4" t="s">
        <v>86</v>
      </c>
      <c r="B37" s="81">
        <v>4.329855012449233</v>
      </c>
      <c r="C37" s="82">
        <v>4.612693903310087</v>
      </c>
      <c r="D37" s="82">
        <v>4.839283516124431</v>
      </c>
      <c r="E37" s="82">
        <v>5.036448394969328</v>
      </c>
      <c r="F37" s="82">
        <v>5.230174204145636</v>
      </c>
      <c r="G37" s="82">
        <v>5.424759993676606</v>
      </c>
      <c r="H37" s="82">
        <v>5.6030225996956045</v>
      </c>
      <c r="I37" s="83">
        <v>5.780500851633635</v>
      </c>
      <c r="J37" s="83">
        <v>5.975835438716069</v>
      </c>
      <c r="K37" s="70"/>
    </row>
    <row r="38" ht="15.75" customHeight="1">
      <c r="A38" s="24" t="s">
        <v>74</v>
      </c>
      <c r="B38" s="84">
        <v>193.3611162527783</v>
      </c>
      <c r="C38" s="84">
        <v>275.80248986928154</v>
      </c>
      <c r="D38" s="84">
        <v>341.81798426353356</v>
      </c>
      <c r="E38" s="84">
        <v>396.3208824244615</v>
      </c>
      <c r="F38" s="84">
        <v>461.2792929027386</v>
      </c>
      <c r="G38" s="84">
        <v>537.8475979245252</v>
      </c>
      <c r="H38" s="84">
        <v>622.5051110789069</v>
      </c>
      <c r="I38" s="84">
        <v>711.1286734673386</v>
      </c>
      <c r="J38" s="84">
        <v>799.6592723398969</v>
      </c>
      <c r="K38" s="85"/>
    </row>
    <row r="39" ht="15.0" customHeight="1">
      <c r="K39" s="76"/>
    </row>
    <row r="40" ht="15.0" customHeight="1">
      <c r="A40" s="86" t="s">
        <v>175</v>
      </c>
      <c r="B40" s="2"/>
      <c r="C40" s="2"/>
      <c r="D40" s="2"/>
      <c r="E40" s="2"/>
      <c r="F40" s="2"/>
      <c r="G40" s="2"/>
      <c r="H40" s="2"/>
      <c r="I40" s="2"/>
      <c r="J40" s="3"/>
      <c r="K40" s="49"/>
    </row>
    <row r="41" ht="15.75" customHeight="1">
      <c r="A41" s="4"/>
      <c r="B41" s="5">
        <v>2020.0</v>
      </c>
      <c r="C41" s="5">
        <v>2021.0</v>
      </c>
      <c r="D41" s="5">
        <v>2022.0</v>
      </c>
      <c r="E41" s="5">
        <v>2023.0</v>
      </c>
      <c r="F41" s="5">
        <v>2024.0</v>
      </c>
      <c r="G41" s="5" t="s">
        <v>2</v>
      </c>
      <c r="H41" s="5" t="s">
        <v>3</v>
      </c>
      <c r="I41" s="5" t="s">
        <v>4</v>
      </c>
      <c r="J41" s="5" t="s">
        <v>5</v>
      </c>
      <c r="K41" s="22"/>
    </row>
    <row r="42" ht="15.75" customHeight="1">
      <c r="A42" s="14" t="str">
        <f t="shared" ref="A42:A50" si="1">A29</f>
        <v>Chaga</v>
      </c>
      <c r="B42" s="87">
        <v>0.7650477966967422</v>
      </c>
      <c r="C42" s="87">
        <v>0.23513323888298673</v>
      </c>
      <c r="D42" s="87">
        <v>0.1496217514097389</v>
      </c>
      <c r="E42" s="87">
        <v>0.10057988908824964</v>
      </c>
      <c r="F42" s="87">
        <v>0.0802973633042327</v>
      </c>
      <c r="G42" s="87">
        <v>0.08530617809523276</v>
      </c>
      <c r="H42" s="87">
        <v>0.06728959426354193</v>
      </c>
      <c r="I42" s="87">
        <v>0.0608609279298102</v>
      </c>
      <c r="J42" s="87">
        <v>0.0566415604967512</v>
      </c>
      <c r="K42" s="22"/>
    </row>
    <row r="43" ht="15.75" customHeight="1">
      <c r="A43" s="14" t="str">
        <f t="shared" si="1"/>
        <v>Cordyceps</v>
      </c>
      <c r="B43" s="87">
        <v>0.9158892439123423</v>
      </c>
      <c r="C43" s="87">
        <v>0.5710846294673226</v>
      </c>
      <c r="D43" s="87">
        <v>0.3482377770040439</v>
      </c>
      <c r="E43" s="87">
        <v>0.20949163333311613</v>
      </c>
      <c r="F43" s="87">
        <v>0.22069932603442985</v>
      </c>
      <c r="G43" s="87">
        <v>0.2144622073386899</v>
      </c>
      <c r="H43" s="87">
        <v>0.1947022039880175</v>
      </c>
      <c r="I43" s="87">
        <v>0.1721175260078806</v>
      </c>
      <c r="J43" s="87">
        <v>0.1392311609868282</v>
      </c>
      <c r="K43" s="22"/>
    </row>
    <row r="44" ht="15.75" customHeight="1">
      <c r="A44" s="14" t="str">
        <f t="shared" si="1"/>
        <v>Reishi</v>
      </c>
      <c r="B44" s="87">
        <v>0.7479186069023049</v>
      </c>
      <c r="C44" s="87">
        <v>0.5219720725075064</v>
      </c>
      <c r="D44" s="87">
        <v>0.24698649330767233</v>
      </c>
      <c r="E44" s="87">
        <v>0.120652304763658</v>
      </c>
      <c r="F44" s="87">
        <v>0.11781770635761961</v>
      </c>
      <c r="G44" s="87">
        <v>0.11052219836822037</v>
      </c>
      <c r="H44" s="87">
        <v>0.09748505959365865</v>
      </c>
      <c r="I44" s="87">
        <v>0.09158396988644359</v>
      </c>
      <c r="J44" s="87">
        <v>0.08497724468487905</v>
      </c>
      <c r="K44" s="22"/>
    </row>
    <row r="45" ht="15.75" customHeight="1">
      <c r="A45" s="14" t="str">
        <f t="shared" si="1"/>
        <v>Lion's mane</v>
      </c>
      <c r="B45" s="87">
        <v>1.2044146325420435</v>
      </c>
      <c r="C45" s="87">
        <v>0.5964039114477</v>
      </c>
      <c r="D45" s="87">
        <v>0.24669766258240536</v>
      </c>
      <c r="E45" s="87">
        <v>0.20373322392650317</v>
      </c>
      <c r="F45" s="87">
        <v>0.19925630834664318</v>
      </c>
      <c r="G45" s="87">
        <v>0.177088233655062</v>
      </c>
      <c r="H45" s="87">
        <v>0.1657037588964524</v>
      </c>
      <c r="I45" s="87">
        <v>0.15315143528094186</v>
      </c>
      <c r="J45" s="87">
        <v>0.1373640036497966</v>
      </c>
      <c r="K45" s="22"/>
    </row>
    <row r="46" ht="15.75" customHeight="1">
      <c r="A46" s="14" t="str">
        <f t="shared" si="1"/>
        <v>Turkey tail</v>
      </c>
      <c r="B46" s="88">
        <v>1.0546651486299878</v>
      </c>
      <c r="C46" s="87">
        <v>0.4471678512521381</v>
      </c>
      <c r="D46" s="87">
        <v>0.19061184421885136</v>
      </c>
      <c r="E46" s="87">
        <v>0.09609482093579824</v>
      </c>
      <c r="F46" s="87">
        <v>0.0698981801058211</v>
      </c>
      <c r="G46" s="87">
        <v>0.06867168689558596</v>
      </c>
      <c r="H46" s="87">
        <v>0.0663215267461037</v>
      </c>
      <c r="I46" s="87">
        <v>0.0639380729245799</v>
      </c>
      <c r="J46" s="87">
        <v>0.06051554676078149</v>
      </c>
      <c r="K46" s="22"/>
    </row>
    <row r="47" ht="15.75" customHeight="1">
      <c r="A47" s="14" t="str">
        <f t="shared" si="1"/>
        <v>Maitake</v>
      </c>
      <c r="B47" s="88">
        <v>0.670669391674748</v>
      </c>
      <c r="C47" s="87">
        <v>0.1475020119283967</v>
      </c>
      <c r="D47" s="87">
        <v>0.11240574322871746</v>
      </c>
      <c r="E47" s="87">
        <v>0.0584991345476537</v>
      </c>
      <c r="F47" s="87">
        <v>0.042353667198443586</v>
      </c>
      <c r="G47" s="87">
        <v>0.038264576751177934</v>
      </c>
      <c r="H47" s="87">
        <v>0.032273197666753926</v>
      </c>
      <c r="I47" s="87">
        <v>0.027731111484732368</v>
      </c>
      <c r="J47" s="87">
        <v>0.023907984264421207</v>
      </c>
      <c r="K47" s="22"/>
    </row>
    <row r="48" ht="15.75" customHeight="1">
      <c r="A48" s="14" t="str">
        <f t="shared" si="1"/>
        <v>Shiitake</v>
      </c>
      <c r="B48" s="88">
        <v>0.5537636743179187</v>
      </c>
      <c r="C48" s="87">
        <v>0.14219214087468138</v>
      </c>
      <c r="D48" s="87">
        <v>0.11749835669739163</v>
      </c>
      <c r="E48" s="87">
        <v>0.05829892819238912</v>
      </c>
      <c r="F48" s="87">
        <v>0.04337376672530424</v>
      </c>
      <c r="G48" s="87">
        <v>0.03775083779537248</v>
      </c>
      <c r="H48" s="87">
        <v>0.031014015763452748</v>
      </c>
      <c r="I48" s="87">
        <v>0.026893973822138793</v>
      </c>
      <c r="J48" s="87">
        <v>0.023403711229508958</v>
      </c>
      <c r="K48" s="22"/>
    </row>
    <row r="49" ht="15.75" customHeight="1">
      <c r="A49" s="14" t="str">
        <f t="shared" si="1"/>
        <v>Formulas</v>
      </c>
      <c r="B49" s="88">
        <v>0.7302317521108646</v>
      </c>
      <c r="C49" s="87">
        <v>0.49251028399207464</v>
      </c>
      <c r="D49" s="87">
        <v>0.28571284638036176</v>
      </c>
      <c r="E49" s="87">
        <v>0.20348194400343703</v>
      </c>
      <c r="F49" s="87">
        <v>0.22090863720575565</v>
      </c>
      <c r="G49" s="87">
        <v>0.22925737799424567</v>
      </c>
      <c r="H49" s="87">
        <v>0.21575080312695696</v>
      </c>
      <c r="I49" s="87">
        <v>0.18570597573428974</v>
      </c>
      <c r="J49" s="87">
        <v>0.15779024500377287</v>
      </c>
      <c r="K49" s="22"/>
    </row>
    <row r="50" ht="15.75" customHeight="1">
      <c r="A50" s="4" t="str">
        <f t="shared" si="1"/>
        <v>Others</v>
      </c>
      <c r="B50" s="89">
        <v>0.32309808828781805</v>
      </c>
      <c r="C50" s="90">
        <v>0.06532294731524121</v>
      </c>
      <c r="D50" s="90">
        <v>0.049123054242064985</v>
      </c>
      <c r="E50" s="90">
        <v>0.0407425764966955</v>
      </c>
      <c r="F50" s="90">
        <v>0.038464766038268455</v>
      </c>
      <c r="G50" s="90">
        <v>0.037204456665465055</v>
      </c>
      <c r="H50" s="90">
        <v>0.03286092034058488</v>
      </c>
      <c r="I50" s="90">
        <v>0.03167544816750732</v>
      </c>
      <c r="J50" s="90">
        <v>0.033791983099047615</v>
      </c>
      <c r="K50" s="22"/>
    </row>
    <row r="51" ht="15.75" customHeight="1">
      <c r="A51" s="24" t="s">
        <v>74</v>
      </c>
      <c r="B51" s="91">
        <v>0.7923794168308774</v>
      </c>
      <c r="C51" s="92">
        <v>0.426359628110177</v>
      </c>
      <c r="D51" s="92">
        <v>0.23935786230769893</v>
      </c>
      <c r="E51" s="92">
        <v>0.1594500601785408</v>
      </c>
      <c r="F51" s="92">
        <v>0.16390357752763154</v>
      </c>
      <c r="G51" s="92">
        <v>0.16599120359372202</v>
      </c>
      <c r="H51" s="92">
        <v>0.1574005600862821</v>
      </c>
      <c r="I51" s="92">
        <v>0.14236599958967724</v>
      </c>
      <c r="J51" s="92">
        <v>0.12449308005103872</v>
      </c>
      <c r="K51" s="24"/>
    </row>
    <row r="52" ht="15.75" customHeight="1">
      <c r="G52" s="22"/>
    </row>
    <row r="53" ht="15.75" customHeight="1">
      <c r="A53" s="26"/>
      <c r="C53" s="22"/>
      <c r="D53" s="22"/>
      <c r="E53" s="22"/>
      <c r="F53" s="22"/>
      <c r="G53" s="22"/>
    </row>
    <row r="54" ht="15.75" customHeight="1">
      <c r="A54" s="26" t="s">
        <v>176</v>
      </c>
      <c r="C54" s="22"/>
      <c r="D54" s="22"/>
      <c r="E54" s="22"/>
      <c r="F54" s="22"/>
      <c r="G54" s="22"/>
    </row>
    <row r="55" ht="15.75" customHeight="1">
      <c r="C55" s="22"/>
      <c r="D55" s="22"/>
      <c r="E55" s="22"/>
      <c r="F55" s="22"/>
      <c r="G55" s="22"/>
    </row>
    <row r="56" ht="15.75" customHeight="1">
      <c r="C56" s="22"/>
      <c r="D56" s="22"/>
      <c r="E56" s="22"/>
      <c r="F56" s="22"/>
      <c r="G56" s="22"/>
    </row>
    <row r="57" ht="15.75" customHeight="1">
      <c r="C57" s="22"/>
      <c r="D57" s="22"/>
      <c r="E57" s="22"/>
      <c r="F57" s="22"/>
      <c r="G57" s="2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9:B9"/>
    <mergeCell ref="A10:B10"/>
    <mergeCell ref="A17:B17"/>
    <mergeCell ref="A27:J27"/>
    <mergeCell ref="A40:J40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11" width="8.86"/>
    <col customWidth="1" min="12" max="12" width="19.29"/>
    <col customWidth="1" min="13" max="26" width="8.86"/>
  </cols>
  <sheetData>
    <row r="1">
      <c r="A1" s="17" t="s">
        <v>177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5" t="s">
        <v>2</v>
      </c>
      <c r="H2" s="5" t="s">
        <v>3</v>
      </c>
      <c r="I2" s="5" t="s">
        <v>4</v>
      </c>
      <c r="J2" s="5" t="s">
        <v>5</v>
      </c>
      <c r="Q2" s="93"/>
      <c r="R2" s="93"/>
      <c r="S2" s="93"/>
      <c r="T2" s="93"/>
      <c r="U2" s="93"/>
      <c r="V2" s="93"/>
    </row>
    <row r="3">
      <c r="A3" s="6" t="s">
        <v>131</v>
      </c>
      <c r="B3" s="8">
        <v>2950.3915161783034</v>
      </c>
      <c r="C3" s="8">
        <v>2992.45648405971</v>
      </c>
      <c r="D3" s="8">
        <v>2983.65997534826</v>
      </c>
      <c r="E3" s="8">
        <v>3039.5655498717897</v>
      </c>
      <c r="F3" s="8">
        <v>3121.467167493058</v>
      </c>
      <c r="G3" s="8">
        <v>3228.2130406836263</v>
      </c>
      <c r="H3" s="8">
        <v>3352.0669974019</v>
      </c>
      <c r="I3" s="8">
        <v>3490.62971137522</v>
      </c>
      <c r="J3" s="8">
        <v>3645.117119259748</v>
      </c>
      <c r="Q3" s="26"/>
      <c r="R3" s="26"/>
      <c r="S3" s="26"/>
      <c r="T3" s="26"/>
      <c r="U3" s="26"/>
      <c r="V3" s="26"/>
    </row>
    <row r="4">
      <c r="A4" s="6" t="s">
        <v>132</v>
      </c>
      <c r="B4" s="11">
        <v>2141.7039288162546</v>
      </c>
      <c r="C4" s="11">
        <v>2215.694794410958</v>
      </c>
      <c r="D4" s="11">
        <v>2360.44998794633</v>
      </c>
      <c r="E4" s="11">
        <v>2484.0902846032686</v>
      </c>
      <c r="F4" s="11">
        <v>2606.849782070927</v>
      </c>
      <c r="G4" s="11">
        <v>2740.1576271595814</v>
      </c>
      <c r="H4" s="11">
        <v>2882.177919767362</v>
      </c>
      <c r="I4" s="11">
        <v>3033.1821514686035</v>
      </c>
      <c r="J4" s="11">
        <v>3193.468350204479</v>
      </c>
      <c r="Q4" s="26"/>
      <c r="R4" s="26"/>
      <c r="S4" s="26"/>
      <c r="T4" s="26"/>
      <c r="U4" s="26"/>
      <c r="V4" s="26"/>
    </row>
    <row r="5">
      <c r="A5" s="6" t="s">
        <v>178</v>
      </c>
      <c r="B5" s="8">
        <v>2213.9944735835534</v>
      </c>
      <c r="C5" s="8">
        <v>2391.114031470238</v>
      </c>
      <c r="D5" s="8">
        <v>2235.691619424673</v>
      </c>
      <c r="E5" s="8">
        <v>2288.677510805038</v>
      </c>
      <c r="F5" s="8">
        <v>2396.474221563955</v>
      </c>
      <c r="G5" s="8">
        <v>2511.60563611633</v>
      </c>
      <c r="H5" s="8">
        <v>2624.4251278185616</v>
      </c>
      <c r="I5" s="8">
        <v>2730.5236626387014</v>
      </c>
      <c r="J5" s="8">
        <v>2835.3920884838567</v>
      </c>
      <c r="Q5" s="26"/>
      <c r="R5" s="26"/>
      <c r="S5" s="26"/>
      <c r="T5" s="26"/>
      <c r="U5" s="26"/>
      <c r="V5" s="26"/>
    </row>
    <row r="6">
      <c r="A6" s="6" t="s">
        <v>179</v>
      </c>
      <c r="B6" s="8">
        <v>1860.5696504502125</v>
      </c>
      <c r="C6" s="8">
        <v>2569.539715754266</v>
      </c>
      <c r="D6" s="8">
        <v>2376.0533751579696</v>
      </c>
      <c r="E6" s="8">
        <v>2607.6948187021203</v>
      </c>
      <c r="F6" s="8">
        <v>2898.273042583554</v>
      </c>
      <c r="G6" s="8">
        <v>3250.703044561714</v>
      </c>
      <c r="H6" s="8">
        <v>3660.7304730875057</v>
      </c>
      <c r="I6" s="8">
        <v>4131.6468411454825</v>
      </c>
      <c r="J6" s="8">
        <v>4673.6123432684435</v>
      </c>
      <c r="Q6" s="26"/>
      <c r="R6" s="26"/>
      <c r="S6" s="26"/>
      <c r="T6" s="26"/>
      <c r="U6" s="26"/>
      <c r="V6" s="26"/>
    </row>
    <row r="7">
      <c r="A7" s="6" t="s">
        <v>180</v>
      </c>
      <c r="B7" s="94">
        <v>882.7198878362055</v>
      </c>
      <c r="C7" s="94">
        <v>872.1272491821711</v>
      </c>
      <c r="D7" s="94">
        <v>777.0653790213145</v>
      </c>
      <c r="E7" s="94">
        <v>748.3139599975258</v>
      </c>
      <c r="F7" s="94">
        <v>716.4732009996311</v>
      </c>
      <c r="G7" s="94">
        <v>690.560156502477</v>
      </c>
      <c r="H7" s="94">
        <v>671.8282806572495</v>
      </c>
      <c r="I7" s="94">
        <v>656.3380829525717</v>
      </c>
      <c r="J7" s="94">
        <v>642.718343708358</v>
      </c>
      <c r="Q7" s="93"/>
      <c r="R7" s="93"/>
      <c r="S7" s="93"/>
      <c r="T7" s="93"/>
      <c r="U7" s="93"/>
      <c r="V7" s="93"/>
    </row>
    <row r="8">
      <c r="A8" s="4" t="s">
        <v>181</v>
      </c>
      <c r="B8" s="95">
        <v>1119.068634414803</v>
      </c>
      <c r="C8" s="95">
        <v>1199.6415760926689</v>
      </c>
      <c r="D8" s="95">
        <v>1284.8161279952483</v>
      </c>
      <c r="E8" s="95">
        <v>1382.4621537228873</v>
      </c>
      <c r="F8" s="95">
        <v>1491.7319623531444</v>
      </c>
      <c r="G8" s="95">
        <v>1612.5861190151466</v>
      </c>
      <c r="H8" s="95">
        <v>1749.763659884184</v>
      </c>
      <c r="I8" s="95">
        <v>1895.6335192807671</v>
      </c>
      <c r="J8" s="95">
        <v>2045.7623687941216</v>
      </c>
      <c r="Q8" s="26"/>
      <c r="R8" s="26"/>
      <c r="S8" s="26"/>
      <c r="T8" s="26"/>
      <c r="U8" s="26"/>
      <c r="V8" s="26"/>
    </row>
    <row r="9">
      <c r="A9" s="24" t="s">
        <v>74</v>
      </c>
      <c r="B9" s="96">
        <v>11168.448091279333</v>
      </c>
      <c r="C9" s="96">
        <v>12240.573850970011</v>
      </c>
      <c r="D9" s="96">
        <v>12017.736464893795</v>
      </c>
      <c r="E9" s="96">
        <v>12550.80427770263</v>
      </c>
      <c r="F9" s="96">
        <v>13231.269377064269</v>
      </c>
      <c r="G9" s="96">
        <v>14033.825624038875</v>
      </c>
      <c r="H9" s="96">
        <v>14940.992458616764</v>
      </c>
      <c r="I9" s="96">
        <v>15937.953968861348</v>
      </c>
      <c r="J9" s="96">
        <v>17036.07061371901</v>
      </c>
      <c r="Q9" s="26"/>
      <c r="R9" s="26"/>
      <c r="S9" s="26"/>
      <c r="T9" s="26"/>
      <c r="U9" s="26"/>
      <c r="V9" s="26"/>
    </row>
    <row r="10">
      <c r="A10" s="26"/>
      <c r="Q10" s="26"/>
      <c r="R10" s="26"/>
      <c r="S10" s="26"/>
      <c r="T10" s="26"/>
      <c r="U10" s="26"/>
      <c r="V10" s="26"/>
    </row>
    <row r="11">
      <c r="A11" s="17" t="s">
        <v>182</v>
      </c>
      <c r="B11" s="2"/>
      <c r="C11" s="2"/>
      <c r="D11" s="2"/>
      <c r="E11" s="2"/>
      <c r="F11" s="2"/>
      <c r="G11" s="2"/>
      <c r="H11" s="2"/>
      <c r="I11" s="2"/>
      <c r="J11" s="3"/>
      <c r="Q11" s="26"/>
      <c r="R11" s="26"/>
      <c r="S11" s="26"/>
      <c r="T11" s="26"/>
      <c r="U11" s="26"/>
      <c r="V11" s="26"/>
    </row>
    <row r="12">
      <c r="A12" s="4"/>
      <c r="B12" s="5">
        <v>2020.0</v>
      </c>
      <c r="C12" s="5">
        <v>2021.0</v>
      </c>
      <c r="D12" s="5">
        <v>2022.0</v>
      </c>
      <c r="E12" s="5">
        <v>2023.0</v>
      </c>
      <c r="F12" s="5">
        <v>2024.0</v>
      </c>
      <c r="G12" s="5" t="s">
        <v>2</v>
      </c>
      <c r="H12" s="5" t="s">
        <v>3</v>
      </c>
      <c r="I12" s="5" t="s">
        <v>4</v>
      </c>
      <c r="J12" s="5" t="s">
        <v>5</v>
      </c>
      <c r="Q12" s="93"/>
      <c r="R12" s="93"/>
      <c r="S12" s="93"/>
      <c r="T12" s="93"/>
      <c r="U12" s="93"/>
      <c r="V12" s="93"/>
    </row>
    <row r="13">
      <c r="A13" s="6" t="s">
        <v>131</v>
      </c>
      <c r="B13" s="15">
        <v>0.01605148187368105</v>
      </c>
      <c r="C13" s="15">
        <v>0.01424725079736214</v>
      </c>
      <c r="D13" s="15">
        <v>-0.002916198194987406</v>
      </c>
      <c r="E13" s="15">
        <v>0.018723589833126993</v>
      </c>
      <c r="F13" s="15">
        <v>0.026945172353569653</v>
      </c>
      <c r="G13" s="15">
        <v>0.03419733973248846</v>
      </c>
      <c r="H13" s="15">
        <v>0.038366103834350955</v>
      </c>
      <c r="I13" s="15">
        <v>0.04133649896637388</v>
      </c>
      <c r="J13" s="15">
        <v>0.04425774735747153</v>
      </c>
      <c r="R13" s="26"/>
      <c r="S13" s="26"/>
      <c r="T13" s="26"/>
      <c r="U13" s="26"/>
      <c r="V13" s="26"/>
    </row>
    <row r="14">
      <c r="A14" s="6" t="s">
        <v>132</v>
      </c>
      <c r="B14" s="15">
        <v>0.2506588145631942</v>
      </c>
      <c r="C14" s="15">
        <v>0.034547663007556316</v>
      </c>
      <c r="D14" s="15">
        <v>0.06533625204181732</v>
      </c>
      <c r="E14" s="15">
        <v>0.0523755104040105</v>
      </c>
      <c r="F14" s="15">
        <v>0.04941829136748318</v>
      </c>
      <c r="G14" s="15">
        <v>0.05113752468803633</v>
      </c>
      <c r="H14" s="15">
        <v>0.05182924193853665</v>
      </c>
      <c r="I14" s="15">
        <v>0.05239240459986251</v>
      </c>
      <c r="J14" s="15">
        <v>0.052844237744926845</v>
      </c>
      <c r="Q14" s="26"/>
      <c r="R14" s="26"/>
      <c r="S14" s="26"/>
      <c r="T14" s="26"/>
      <c r="U14" s="26"/>
      <c r="V14" s="26"/>
    </row>
    <row r="15">
      <c r="A15" s="6" t="s">
        <v>178</v>
      </c>
      <c r="B15" s="15">
        <v>0.09</v>
      </c>
      <c r="C15" s="15">
        <v>0.08</v>
      </c>
      <c r="D15" s="15">
        <v>-0.065</v>
      </c>
      <c r="E15" s="15">
        <v>0.0237</v>
      </c>
      <c r="F15" s="15">
        <v>0.0471</v>
      </c>
      <c r="G15" s="15">
        <v>0.048042</v>
      </c>
      <c r="H15" s="15">
        <v>0.044919270000000004</v>
      </c>
      <c r="I15" s="15">
        <v>0.040427343000000004</v>
      </c>
      <c r="J15" s="15">
        <v>0.03840597585</v>
      </c>
      <c r="Q15" s="26"/>
      <c r="R15" s="26"/>
      <c r="S15" s="26"/>
      <c r="T15" s="26"/>
      <c r="U15" s="26"/>
      <c r="V15" s="26"/>
    </row>
    <row r="16">
      <c r="A16" s="6" t="s">
        <v>179</v>
      </c>
      <c r="B16" s="97">
        <v>0.96662</v>
      </c>
      <c r="C16" s="15">
        <v>0.38105</v>
      </c>
      <c r="D16" s="15">
        <v>-0.0753</v>
      </c>
      <c r="E16" s="15">
        <v>0.09749</v>
      </c>
      <c r="F16" s="15">
        <v>0.11143107</v>
      </c>
      <c r="G16" s="15">
        <v>0.1216</v>
      </c>
      <c r="H16" s="15">
        <v>0.126135</v>
      </c>
      <c r="I16" s="15">
        <v>0.12864</v>
      </c>
      <c r="J16" s="15">
        <v>0.13117420800000001</v>
      </c>
      <c r="Q16" s="26"/>
      <c r="R16" s="26"/>
      <c r="S16" s="26"/>
      <c r="T16" s="26"/>
      <c r="U16" s="26"/>
      <c r="V16" s="26"/>
    </row>
    <row r="17">
      <c r="A17" s="6" t="s">
        <v>180</v>
      </c>
      <c r="B17" s="15">
        <v>0.038</v>
      </c>
      <c r="C17" s="15">
        <v>-0.012</v>
      </c>
      <c r="D17" s="15">
        <v>-0.109</v>
      </c>
      <c r="E17" s="15">
        <v>-0.037</v>
      </c>
      <c r="F17" s="15">
        <v>-0.04255</v>
      </c>
      <c r="G17" s="15">
        <v>-0.0361675</v>
      </c>
      <c r="H17" s="15">
        <v>-0.027125625</v>
      </c>
      <c r="I17" s="15">
        <v>-0.02305678125</v>
      </c>
      <c r="J17" s="15">
        <v>-0.020751103125</v>
      </c>
      <c r="Q17" s="93"/>
      <c r="R17" s="93"/>
      <c r="S17" s="93"/>
      <c r="T17" s="93"/>
      <c r="U17" s="93"/>
      <c r="V17" s="93"/>
    </row>
    <row r="18">
      <c r="A18" s="4" t="s">
        <v>181</v>
      </c>
      <c r="B18" s="16">
        <v>0.031</v>
      </c>
      <c r="C18" s="16">
        <v>0.072</v>
      </c>
      <c r="D18" s="16">
        <v>0.071</v>
      </c>
      <c r="E18" s="16">
        <v>0.076</v>
      </c>
      <c r="F18" s="16">
        <v>0.07904</v>
      </c>
      <c r="G18" s="16">
        <v>0.08101599999999999</v>
      </c>
      <c r="H18" s="16">
        <v>0.0850668</v>
      </c>
      <c r="I18" s="16">
        <v>0.083365464</v>
      </c>
      <c r="J18" s="16">
        <v>0.0791971908</v>
      </c>
      <c r="Q18" s="26"/>
      <c r="R18" s="26"/>
      <c r="S18" s="26"/>
      <c r="T18" s="26"/>
      <c r="U18" s="26"/>
      <c r="V18" s="26"/>
    </row>
    <row r="19">
      <c r="A19" s="24" t="s">
        <v>74</v>
      </c>
      <c r="B19" s="98">
        <v>0.17197402940171277</v>
      </c>
      <c r="C19" s="98">
        <v>0.09599245344395146</v>
      </c>
      <c r="D19" s="98">
        <v>-0.01819735682319597</v>
      </c>
      <c r="E19" s="98">
        <v>0.04435285785753941</v>
      </c>
      <c r="F19" s="98">
        <v>0.054215512280436334</v>
      </c>
      <c r="G19" s="98">
        <v>0.060659056918012585</v>
      </c>
      <c r="H19" s="98">
        <v>0.06463906689873164</v>
      </c>
      <c r="I19" s="98">
        <v>0.06672637031783814</v>
      </c>
      <c r="J19" s="98">
        <v>0.06890064505772436</v>
      </c>
      <c r="Q19" s="26"/>
      <c r="R19" s="26"/>
      <c r="S19" s="26"/>
      <c r="T19" s="26"/>
      <c r="U19" s="26"/>
      <c r="V19" s="26"/>
    </row>
    <row r="20">
      <c r="A20" s="24"/>
      <c r="B20" s="15"/>
      <c r="C20" s="15"/>
      <c r="D20" s="15"/>
      <c r="E20" s="15"/>
      <c r="F20" s="15"/>
      <c r="G20" s="15"/>
      <c r="H20" s="15"/>
      <c r="I20" s="15"/>
      <c r="J20" s="15"/>
      <c r="Q20" s="26"/>
      <c r="R20" s="26"/>
      <c r="S20" s="26"/>
      <c r="T20" s="26"/>
      <c r="U20" s="26"/>
      <c r="V20" s="26"/>
    </row>
    <row r="21" ht="15.75" customHeight="1">
      <c r="A21" s="17" t="s">
        <v>183</v>
      </c>
      <c r="B21" s="2"/>
      <c r="C21" s="2"/>
      <c r="D21" s="2"/>
      <c r="E21" s="2"/>
      <c r="F21" s="2"/>
      <c r="G21" s="2"/>
      <c r="H21" s="2"/>
      <c r="I21" s="2"/>
      <c r="J21" s="3"/>
      <c r="Q21" s="26"/>
      <c r="R21" s="26"/>
      <c r="S21" s="26"/>
      <c r="T21" s="26"/>
      <c r="U21" s="26"/>
      <c r="V21" s="26"/>
    </row>
    <row r="22" ht="15.75" customHeight="1">
      <c r="A22" s="46" t="s">
        <v>131</v>
      </c>
      <c r="B22" s="5">
        <v>2020.0</v>
      </c>
      <c r="C22" s="5">
        <v>2021.0</v>
      </c>
      <c r="D22" s="5">
        <v>2022.0</v>
      </c>
      <c r="E22" s="5">
        <v>2023.0</v>
      </c>
      <c r="F22" s="5">
        <v>2024.0</v>
      </c>
      <c r="G22" s="5" t="s">
        <v>2</v>
      </c>
      <c r="H22" s="5" t="s">
        <v>3</v>
      </c>
      <c r="I22" s="5" t="s">
        <v>4</v>
      </c>
      <c r="J22" s="5" t="s">
        <v>5</v>
      </c>
      <c r="Q22" s="26"/>
      <c r="R22" s="26"/>
      <c r="S22" s="26"/>
      <c r="T22" s="26"/>
      <c r="U22" s="26"/>
      <c r="V22" s="26"/>
    </row>
    <row r="23" ht="15.75" customHeight="1">
      <c r="A23" s="26" t="s">
        <v>184</v>
      </c>
      <c r="B23" s="8">
        <v>2950.3915161783034</v>
      </c>
      <c r="C23" s="8">
        <v>2992.45648405971</v>
      </c>
      <c r="D23" s="8">
        <v>2983.65997534826</v>
      </c>
      <c r="E23" s="8">
        <v>3039.5655498717897</v>
      </c>
      <c r="F23" s="8">
        <v>3121.467167493058</v>
      </c>
      <c r="G23" s="8">
        <v>3228.2130406836263</v>
      </c>
      <c r="H23" s="8">
        <v>3352.0669974019</v>
      </c>
      <c r="I23" s="8">
        <v>3490.62971137522</v>
      </c>
      <c r="J23" s="8">
        <v>3645.117119259748</v>
      </c>
      <c r="Q23" s="26"/>
      <c r="R23" s="26"/>
      <c r="S23" s="26"/>
      <c r="T23" s="26"/>
      <c r="U23" s="26"/>
      <c r="V23" s="26"/>
    </row>
    <row r="24" ht="15.75" customHeight="1">
      <c r="A24" s="99" t="s">
        <v>185</v>
      </c>
      <c r="B24" s="10">
        <v>0.01605148187368105</v>
      </c>
      <c r="C24" s="10">
        <v>0.01424725079736214</v>
      </c>
      <c r="D24" s="10">
        <v>-0.002916198194987406</v>
      </c>
      <c r="E24" s="10">
        <v>0.018723589833126993</v>
      </c>
      <c r="F24" s="10">
        <v>0.026945172353569653</v>
      </c>
      <c r="G24" s="10">
        <v>0.03419733973248846</v>
      </c>
      <c r="H24" s="10">
        <v>0.038366103834350955</v>
      </c>
      <c r="I24" s="10">
        <v>0.04133649896637388</v>
      </c>
      <c r="J24" s="10">
        <v>0.04425774735747153</v>
      </c>
      <c r="Q24" s="93"/>
      <c r="R24" s="93"/>
      <c r="S24" s="93"/>
      <c r="T24" s="93"/>
      <c r="U24" s="93"/>
      <c r="V24" s="93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Q25" s="26"/>
      <c r="R25" s="26"/>
      <c r="S25" s="26"/>
      <c r="T25" s="26"/>
      <c r="U25" s="26"/>
      <c r="V25" s="26"/>
    </row>
    <row r="26" ht="15.75" customHeight="1">
      <c r="A26" s="17" t="s">
        <v>183</v>
      </c>
      <c r="B26" s="2"/>
      <c r="C26" s="2"/>
      <c r="D26" s="2"/>
      <c r="E26" s="2"/>
      <c r="F26" s="2"/>
      <c r="G26" s="2"/>
      <c r="H26" s="2"/>
      <c r="I26" s="2"/>
      <c r="J26" s="3"/>
      <c r="Q26" s="26"/>
      <c r="R26" s="26"/>
      <c r="S26" s="26"/>
      <c r="T26" s="26"/>
      <c r="U26" s="26"/>
      <c r="V26" s="26"/>
    </row>
    <row r="27" ht="15.75" customHeight="1">
      <c r="A27" s="46" t="s">
        <v>132</v>
      </c>
      <c r="B27" s="5">
        <v>2020.0</v>
      </c>
      <c r="C27" s="5">
        <v>2021.0</v>
      </c>
      <c r="D27" s="5">
        <v>2022.0</v>
      </c>
      <c r="E27" s="5">
        <v>2023.0</v>
      </c>
      <c r="F27" s="5">
        <v>2024.0</v>
      </c>
      <c r="G27" s="5" t="s">
        <v>2</v>
      </c>
      <c r="H27" s="5" t="s">
        <v>3</v>
      </c>
      <c r="I27" s="5" t="s">
        <v>4</v>
      </c>
      <c r="J27" s="5" t="s">
        <v>5</v>
      </c>
      <c r="Q27" s="26"/>
      <c r="R27" s="26"/>
      <c r="S27" s="26"/>
      <c r="T27" s="26"/>
      <c r="U27" s="26"/>
      <c r="V27" s="26"/>
    </row>
    <row r="28" ht="15.75" customHeight="1">
      <c r="A28" s="26" t="s">
        <v>184</v>
      </c>
      <c r="B28" s="100">
        <v>2141.7039288162546</v>
      </c>
      <c r="C28" s="100">
        <v>2215.694794410958</v>
      </c>
      <c r="D28" s="100">
        <v>2360.44998794633</v>
      </c>
      <c r="E28" s="100">
        <v>2484.0902846032686</v>
      </c>
      <c r="F28" s="100">
        <v>2606.849782070927</v>
      </c>
      <c r="G28" s="100">
        <v>2740.1576271595814</v>
      </c>
      <c r="H28" s="100">
        <v>2882.177919767362</v>
      </c>
      <c r="I28" s="100">
        <v>3033.1821514686035</v>
      </c>
      <c r="J28" s="100">
        <v>3193.468350204479</v>
      </c>
      <c r="Q28" s="26"/>
      <c r="R28" s="26"/>
      <c r="S28" s="26"/>
      <c r="T28" s="26"/>
      <c r="U28" s="26"/>
      <c r="V28" s="26"/>
    </row>
    <row r="29" ht="15.75" customHeight="1">
      <c r="A29" s="99" t="s">
        <v>185</v>
      </c>
      <c r="B29" s="101">
        <v>0.2506588145631942</v>
      </c>
      <c r="C29" s="101">
        <v>0.034547663007556316</v>
      </c>
      <c r="D29" s="101">
        <v>0.06533625204181732</v>
      </c>
      <c r="E29" s="101">
        <v>0.0523755104040105</v>
      </c>
      <c r="F29" s="101">
        <v>0.04941829136748318</v>
      </c>
      <c r="G29" s="101">
        <v>0.05113752468803633</v>
      </c>
      <c r="H29" s="101">
        <v>0.05182924193853665</v>
      </c>
      <c r="I29" s="101">
        <v>0.05239240459986251</v>
      </c>
      <c r="J29" s="101">
        <v>0.052844237744926845</v>
      </c>
      <c r="Q29" s="93"/>
      <c r="R29" s="93"/>
      <c r="S29" s="93"/>
      <c r="T29" s="93"/>
      <c r="U29" s="93"/>
      <c r="V29" s="93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Q30" s="26"/>
      <c r="R30" s="26"/>
      <c r="S30" s="26"/>
      <c r="T30" s="26"/>
      <c r="U30" s="26"/>
      <c r="V30" s="26"/>
    </row>
    <row r="31" ht="15.75" customHeight="1">
      <c r="A31" s="17" t="s">
        <v>183</v>
      </c>
      <c r="B31" s="2"/>
      <c r="C31" s="2"/>
      <c r="D31" s="2"/>
      <c r="E31" s="2"/>
      <c r="F31" s="2"/>
      <c r="G31" s="2"/>
      <c r="H31" s="2"/>
      <c r="I31" s="2"/>
      <c r="J31" s="3"/>
      <c r="Q31" s="26"/>
      <c r="R31" s="26"/>
      <c r="S31" s="26"/>
      <c r="T31" s="26"/>
      <c r="U31" s="26"/>
      <c r="V31" s="26"/>
    </row>
    <row r="32" ht="15.75" customHeight="1">
      <c r="A32" s="46" t="s">
        <v>178</v>
      </c>
      <c r="B32" s="5">
        <v>2020.0</v>
      </c>
      <c r="C32" s="5">
        <v>2021.0</v>
      </c>
      <c r="D32" s="5">
        <v>2022.0</v>
      </c>
      <c r="E32" s="5">
        <v>2023.0</v>
      </c>
      <c r="F32" s="5">
        <v>2024.0</v>
      </c>
      <c r="G32" s="5" t="s">
        <v>2</v>
      </c>
      <c r="H32" s="5" t="s">
        <v>3</v>
      </c>
      <c r="I32" s="5" t="s">
        <v>4</v>
      </c>
      <c r="J32" s="5" t="s">
        <v>5</v>
      </c>
      <c r="Q32" s="26"/>
      <c r="R32" s="26"/>
      <c r="S32" s="26"/>
      <c r="T32" s="26"/>
      <c r="U32" s="26"/>
      <c r="V32" s="26"/>
    </row>
    <row r="33" ht="15.75" customHeight="1">
      <c r="A33" s="26" t="s">
        <v>184</v>
      </c>
      <c r="B33" s="11">
        <v>2213.9944735835534</v>
      </c>
      <c r="C33" s="11">
        <v>2391.114031470238</v>
      </c>
      <c r="D33" s="11">
        <v>2235.691619424673</v>
      </c>
      <c r="E33" s="11">
        <v>2288.677510805038</v>
      </c>
      <c r="F33" s="11">
        <v>2396.474221563955</v>
      </c>
      <c r="G33" s="11">
        <v>2511.60563611633</v>
      </c>
      <c r="H33" s="11">
        <v>2624.4251278185616</v>
      </c>
      <c r="I33" s="11">
        <v>2730.5236626387014</v>
      </c>
      <c r="J33" s="11">
        <v>2835.3920884838567</v>
      </c>
    </row>
    <row r="34" ht="15.75" customHeight="1">
      <c r="A34" s="99" t="s">
        <v>185</v>
      </c>
      <c r="B34" s="10">
        <v>0.09</v>
      </c>
      <c r="C34" s="10">
        <v>0.08</v>
      </c>
      <c r="D34" s="10">
        <v>-0.065</v>
      </c>
      <c r="E34" s="10">
        <v>0.0237</v>
      </c>
      <c r="F34" s="10">
        <v>0.0471</v>
      </c>
      <c r="G34" s="10">
        <v>0.048042</v>
      </c>
      <c r="H34" s="10">
        <v>0.044919270000000004</v>
      </c>
      <c r="I34" s="10">
        <v>0.040427343000000004</v>
      </c>
      <c r="J34" s="10">
        <v>0.03840597585</v>
      </c>
    </row>
    <row r="35" ht="15.75" customHeight="1"/>
    <row r="36" ht="15.75" customHeight="1">
      <c r="A36" s="17" t="s">
        <v>183</v>
      </c>
      <c r="B36" s="2"/>
      <c r="C36" s="2"/>
      <c r="D36" s="2"/>
      <c r="E36" s="2"/>
      <c r="F36" s="2"/>
      <c r="G36" s="2"/>
      <c r="H36" s="2"/>
      <c r="I36" s="2"/>
      <c r="J36" s="3"/>
    </row>
    <row r="37" ht="15.75" customHeight="1">
      <c r="A37" s="46" t="s">
        <v>186</v>
      </c>
      <c r="B37" s="5">
        <v>2020.0</v>
      </c>
      <c r="C37" s="5">
        <v>2021.0</v>
      </c>
      <c r="D37" s="5">
        <v>2022.0</v>
      </c>
      <c r="E37" s="5">
        <v>2023.0</v>
      </c>
      <c r="F37" s="5">
        <v>2024.0</v>
      </c>
      <c r="G37" s="5" t="s">
        <v>2</v>
      </c>
      <c r="H37" s="5" t="s">
        <v>3</v>
      </c>
      <c r="I37" s="5" t="s">
        <v>4</v>
      </c>
      <c r="J37" s="5" t="s">
        <v>5</v>
      </c>
    </row>
    <row r="38" ht="15.75" customHeight="1">
      <c r="A38" s="26" t="s">
        <v>184</v>
      </c>
      <c r="B38" s="11">
        <v>1860.5696504502125</v>
      </c>
      <c r="C38" s="11">
        <v>2569.539715754266</v>
      </c>
      <c r="D38" s="11">
        <v>2376.0533751579696</v>
      </c>
      <c r="E38" s="11">
        <v>2607.6948187021203</v>
      </c>
      <c r="F38" s="11">
        <v>2898.273042583554</v>
      </c>
      <c r="G38" s="11">
        <v>3250.703044561714</v>
      </c>
      <c r="H38" s="11">
        <v>3660.7304730875057</v>
      </c>
      <c r="I38" s="11">
        <v>4131.6468411454825</v>
      </c>
      <c r="J38" s="11">
        <v>4673.6123432684435</v>
      </c>
    </row>
    <row r="39" ht="15.75" customHeight="1">
      <c r="A39" s="99" t="s">
        <v>185</v>
      </c>
      <c r="B39" s="10">
        <v>0.96662</v>
      </c>
      <c r="C39" s="10">
        <v>0.38105</v>
      </c>
      <c r="D39" s="10">
        <v>-0.0753</v>
      </c>
      <c r="E39" s="10">
        <v>0.09749</v>
      </c>
      <c r="F39" s="10">
        <v>0.11143107</v>
      </c>
      <c r="G39" s="10">
        <v>0.1216</v>
      </c>
      <c r="H39" s="10">
        <v>0.126135</v>
      </c>
      <c r="I39" s="10">
        <v>0.12864</v>
      </c>
      <c r="J39" s="10">
        <v>0.13117420800000001</v>
      </c>
    </row>
    <row r="40" ht="15.75" customHeight="1"/>
    <row r="41" ht="15.75" customHeight="1">
      <c r="A41" s="17" t="s">
        <v>183</v>
      </c>
      <c r="B41" s="2"/>
      <c r="C41" s="2"/>
      <c r="D41" s="2"/>
      <c r="E41" s="2"/>
      <c r="F41" s="2"/>
      <c r="G41" s="2"/>
      <c r="H41" s="2"/>
      <c r="I41" s="2"/>
      <c r="J41" s="3"/>
    </row>
    <row r="42" ht="15.75" customHeight="1">
      <c r="A42" s="46" t="s">
        <v>180</v>
      </c>
      <c r="B42" s="5">
        <v>2020.0</v>
      </c>
      <c r="C42" s="5">
        <v>2021.0</v>
      </c>
      <c r="D42" s="5">
        <v>2022.0</v>
      </c>
      <c r="E42" s="5">
        <v>2023.0</v>
      </c>
      <c r="F42" s="5">
        <v>2024.0</v>
      </c>
      <c r="G42" s="5" t="s">
        <v>2</v>
      </c>
      <c r="H42" s="5" t="s">
        <v>3</v>
      </c>
      <c r="I42" s="5" t="s">
        <v>4</v>
      </c>
      <c r="J42" s="5" t="s">
        <v>5</v>
      </c>
    </row>
    <row r="43" ht="15.75" customHeight="1">
      <c r="A43" s="26" t="s">
        <v>184</v>
      </c>
      <c r="B43" s="11">
        <v>882.7198878362055</v>
      </c>
      <c r="C43" s="11">
        <v>872.1272491821711</v>
      </c>
      <c r="D43" s="11">
        <v>777.0653790213145</v>
      </c>
      <c r="E43" s="11">
        <v>748.3139599975258</v>
      </c>
      <c r="F43" s="11">
        <v>716.4732009996311</v>
      </c>
      <c r="G43" s="11">
        <v>690.560156502477</v>
      </c>
      <c r="H43" s="11">
        <v>671.8282806572495</v>
      </c>
      <c r="I43" s="11">
        <v>656.3380829525717</v>
      </c>
      <c r="J43" s="11">
        <v>642.718343708358</v>
      </c>
    </row>
    <row r="44" ht="15.75" customHeight="1">
      <c r="A44" s="99" t="s">
        <v>185</v>
      </c>
      <c r="B44" s="10">
        <v>0.038</v>
      </c>
      <c r="C44" s="10">
        <v>-0.012</v>
      </c>
      <c r="D44" s="10">
        <v>-0.109</v>
      </c>
      <c r="E44" s="10">
        <v>-0.037</v>
      </c>
      <c r="F44" s="10">
        <v>-0.04255</v>
      </c>
      <c r="G44" s="10">
        <v>-0.0361675</v>
      </c>
      <c r="H44" s="10">
        <v>-0.027125625</v>
      </c>
      <c r="I44" s="10">
        <v>-0.02305678125</v>
      </c>
      <c r="J44" s="10">
        <v>-0.020751103125</v>
      </c>
    </row>
    <row r="45" ht="15.75" customHeight="1"/>
    <row r="46" ht="15.75" customHeight="1">
      <c r="A46" s="17" t="s">
        <v>187</v>
      </c>
      <c r="B46" s="2"/>
      <c r="C46" s="2"/>
      <c r="D46" s="2"/>
      <c r="E46" s="2"/>
      <c r="F46" s="2"/>
      <c r="G46" s="2"/>
      <c r="H46" s="2"/>
      <c r="I46" s="2"/>
      <c r="J46" s="3"/>
    </row>
    <row r="47" ht="15.75" customHeight="1">
      <c r="A47" s="46" t="s">
        <v>181</v>
      </c>
      <c r="B47" s="5">
        <v>2020.0</v>
      </c>
      <c r="C47" s="5">
        <v>2021.0</v>
      </c>
      <c r="D47" s="5">
        <v>2022.0</v>
      </c>
      <c r="E47" s="5">
        <v>2023.0</v>
      </c>
      <c r="F47" s="5">
        <v>2024.0</v>
      </c>
      <c r="G47" s="5" t="s">
        <v>2</v>
      </c>
      <c r="H47" s="5" t="s">
        <v>3</v>
      </c>
      <c r="I47" s="5" t="s">
        <v>4</v>
      </c>
      <c r="J47" s="5" t="s">
        <v>5</v>
      </c>
    </row>
    <row r="48" ht="15.75" customHeight="1">
      <c r="A48" s="26" t="s">
        <v>184</v>
      </c>
      <c r="B48" s="11">
        <v>1119.068634414803</v>
      </c>
      <c r="C48" s="11">
        <v>1199.6415760926689</v>
      </c>
      <c r="D48" s="11">
        <v>1284.8161279952483</v>
      </c>
      <c r="E48" s="11">
        <v>1382.4621537228873</v>
      </c>
      <c r="F48" s="11">
        <v>1491.7319623531444</v>
      </c>
      <c r="G48" s="11">
        <v>1612.5861190151466</v>
      </c>
      <c r="H48" s="11">
        <v>1749.763659884184</v>
      </c>
      <c r="I48" s="11">
        <v>1895.6335192807671</v>
      </c>
      <c r="J48" s="11">
        <v>2045.7623687941216</v>
      </c>
    </row>
    <row r="49" ht="15.75" customHeight="1">
      <c r="A49" s="99" t="s">
        <v>185</v>
      </c>
      <c r="B49" s="10">
        <v>0.031</v>
      </c>
      <c r="C49" s="10">
        <v>0.072</v>
      </c>
      <c r="D49" s="10">
        <v>0.071</v>
      </c>
      <c r="E49" s="10">
        <v>0.076</v>
      </c>
      <c r="F49" s="10">
        <v>0.07904</v>
      </c>
      <c r="G49" s="10">
        <v>0.08101599999999999</v>
      </c>
      <c r="H49" s="10">
        <v>0.0850668</v>
      </c>
      <c r="I49" s="10">
        <v>0.083365464</v>
      </c>
      <c r="J49" s="10">
        <v>0.0791971908</v>
      </c>
    </row>
    <row r="50" ht="15.75" customHeight="1"/>
    <row r="51" ht="34.5" customHeight="1">
      <c r="A51" s="1" t="s">
        <v>188</v>
      </c>
      <c r="B51" s="3"/>
    </row>
    <row r="52" ht="15.75" customHeight="1">
      <c r="A52" s="6" t="s">
        <v>119</v>
      </c>
      <c r="B52" s="22">
        <v>0.235915926018706</v>
      </c>
    </row>
    <row r="53" ht="15.75" customHeight="1">
      <c r="A53" s="6" t="s">
        <v>120</v>
      </c>
      <c r="B53" s="22">
        <v>0.19702189622031038</v>
      </c>
    </row>
    <row r="54" ht="15.75" customHeight="1">
      <c r="A54" s="6" t="s">
        <v>178</v>
      </c>
      <c r="B54" s="22">
        <v>0.18112201885316617</v>
      </c>
    </row>
    <row r="55" ht="15.75" customHeight="1">
      <c r="A55" s="6" t="s">
        <v>186</v>
      </c>
      <c r="B55" s="22">
        <v>0.2190472402903052</v>
      </c>
    </row>
    <row r="56" ht="15.75" customHeight="1">
      <c r="A56" s="6" t="s">
        <v>189</v>
      </c>
      <c r="B56" s="22">
        <v>0.05414999729667668</v>
      </c>
    </row>
    <row r="57" ht="15.75" customHeight="1">
      <c r="A57" s="4" t="s">
        <v>190</v>
      </c>
      <c r="B57" s="10">
        <v>0.11274292132083605</v>
      </c>
    </row>
    <row r="58" ht="15.75" customHeight="1">
      <c r="A58" s="24" t="s">
        <v>74</v>
      </c>
      <c r="B58" s="25">
        <v>1.0</v>
      </c>
    </row>
    <row r="59" ht="15.75" customHeight="1"/>
    <row r="60" ht="15.75" customHeight="1"/>
    <row r="61" ht="15.75" customHeight="1">
      <c r="A61" s="26" t="s">
        <v>191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6:J46"/>
    <mergeCell ref="A51:B51"/>
    <mergeCell ref="A1:J1"/>
    <mergeCell ref="A11:J11"/>
    <mergeCell ref="A21:J21"/>
    <mergeCell ref="A26:J26"/>
    <mergeCell ref="A31:J31"/>
    <mergeCell ref="A36:J36"/>
    <mergeCell ref="A41:J41"/>
  </mergeCells>
  <printOptions/>
  <pageMargins bottom="0.75" footer="0.0" header="0.0" left="0.7" right="0.7" top="0.75"/>
  <pageSetup orientation="portrait"/>
  <headerFooter>
    <oddFooter>&amp;L#0078D7Information Classification: General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2021-07-12T17:20:29Z</dcterms:created>
  <dc:creator>Morton, Claire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0x010100FC2628566D8459468FC09005F224A64B</vt:lpwstr>
  </property>
  <property fmtid="{D5CDD505-2E9C-101B-9397-08002B2CF9AE}" pid="3" name="MediaServiceImageTags">
    <vt:lpwstr/>
  </property>
  <property fmtid="{D5CDD505-2E9C-101B-9397-08002B2CF9AE}" pid="4" name="MSIP_Label_2bbab825-a111-45e4-86a1-18cee0005896_Enabled">
    <vt:lpwstr>true</vt:lpwstr>
  </property>
  <property fmtid="{D5CDD505-2E9C-101B-9397-08002B2CF9AE}" pid="5" name="MSIP_Label_2bbab825-a111-45e4-86a1-18cee0005896_SetDate">
    <vt:lpwstr>2022-10-11T14:31:20Z</vt:lpwstr>
  </property>
  <property fmtid="{D5CDD505-2E9C-101B-9397-08002B2CF9AE}" pid="6" name="MSIP_Label_2bbab825-a111-45e4-86a1-18cee0005896_Method">
    <vt:lpwstr>Standard</vt:lpwstr>
  </property>
  <property fmtid="{D5CDD505-2E9C-101B-9397-08002B2CF9AE}" pid="7" name="MSIP_Label_2bbab825-a111-45e4-86a1-18cee0005896_Name">
    <vt:lpwstr>2bbab825-a111-45e4-86a1-18cee0005896</vt:lpwstr>
  </property>
  <property fmtid="{D5CDD505-2E9C-101B-9397-08002B2CF9AE}" pid="8" name="MSIP_Label_2bbab825-a111-45e4-86a1-18cee0005896_SiteId">
    <vt:lpwstr>2567d566-604c-408a-8a60-55d0dc9d9d6b</vt:lpwstr>
  </property>
  <property fmtid="{D5CDD505-2E9C-101B-9397-08002B2CF9AE}" pid="9" name="MSIP_Label_2bbab825-a111-45e4-86a1-18cee0005896_ActionId">
    <vt:lpwstr>94e7f0ab-f28f-4313-a055-66808c63bd66</vt:lpwstr>
  </property>
  <property fmtid="{D5CDD505-2E9C-101B-9397-08002B2CF9AE}" pid="10" name="MSIP_Label_2bbab825-a111-45e4-86a1-18cee0005896_ContentBits">
    <vt:lpwstr>2</vt:lpwstr>
  </property>
</Properties>
</file>